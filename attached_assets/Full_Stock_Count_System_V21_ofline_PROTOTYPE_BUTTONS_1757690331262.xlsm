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ennesbam/Desktop/"/>
    </mc:Choice>
  </mc:AlternateContent>
  <xr:revisionPtr revIDLastSave="0" documentId="13_ncr:1_{4AEE28B3-BEFF-654F-BC3B-D3B354CDEF1B}" xr6:coauthVersionLast="47" xr6:coauthVersionMax="47" xr10:uidLastSave="{00000000-0000-0000-0000-000000000000}"/>
  <bookViews>
    <workbookView minimized="1" xWindow="0" yWindow="620" windowWidth="28800" windowHeight="17380" activeTab="4" xr2:uid="{00000000-000D-0000-FFFF-FFFF00000000}"/>
  </bookViews>
  <sheets>
    <sheet name="Stock Count" sheetId="1" r:id="rId1"/>
    <sheet name="Coppa" sheetId="2" r:id="rId2"/>
    <sheet name="Events" sheetId="3" r:id="rId3"/>
    <sheet name="Cafe+Room 1" sheetId="4" r:id="rId4"/>
    <sheet name="Lobster" sheetId="5" r:id="rId5"/>
    <sheet name="Config" sheetId="6" r:id="rId6"/>
    <sheet name="Items" sheetId="7" r:id="rId7"/>
    <sheet name="Entry Log" sheetId="8" r:id="rId8"/>
    <sheet name="Form" sheetId="9" r:id="rId9"/>
  </sheets>
  <definedNames>
    <definedName name="BTN_AddToLog">Form!$B$12</definedName>
    <definedName name="BTN_ClearSession">Form!$B$15</definedName>
    <definedName name="BTN_Keypad">Form!$B$13</definedName>
    <definedName name="BTN_NewSession">Form!$B$14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61" i="5" l="1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48" i="5"/>
  <c r="I48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3" i="5"/>
  <c r="I3" i="5"/>
  <c r="J361" i="4"/>
  <c r="I361" i="4"/>
  <c r="J360" i="4"/>
  <c r="I360" i="4"/>
  <c r="J359" i="4"/>
  <c r="I359" i="4"/>
  <c r="J358" i="4"/>
  <c r="I358" i="4"/>
  <c r="J357" i="4"/>
  <c r="I357" i="4"/>
  <c r="J356" i="4"/>
  <c r="I356" i="4"/>
  <c r="J355" i="4"/>
  <c r="I355" i="4"/>
  <c r="J354" i="4"/>
  <c r="I354" i="4"/>
  <c r="J353" i="4"/>
  <c r="I353" i="4"/>
  <c r="J352" i="4"/>
  <c r="I352" i="4"/>
  <c r="J351" i="4"/>
  <c r="I351" i="4"/>
  <c r="J350" i="4"/>
  <c r="I350" i="4"/>
  <c r="J349" i="4"/>
  <c r="I349" i="4"/>
  <c r="J348" i="4"/>
  <c r="I348" i="4"/>
  <c r="J347" i="4"/>
  <c r="I347" i="4"/>
  <c r="J346" i="4"/>
  <c r="I346" i="4"/>
  <c r="J345" i="4"/>
  <c r="I345" i="4"/>
  <c r="J344" i="4"/>
  <c r="I344" i="4"/>
  <c r="J343" i="4"/>
  <c r="I343" i="4"/>
  <c r="J342" i="4"/>
  <c r="I342" i="4"/>
  <c r="J341" i="4"/>
  <c r="I341" i="4"/>
  <c r="J340" i="4"/>
  <c r="I340" i="4"/>
  <c r="J339" i="4"/>
  <c r="I339" i="4"/>
  <c r="J338" i="4"/>
  <c r="I338" i="4"/>
  <c r="J337" i="4"/>
  <c r="I337" i="4"/>
  <c r="J336" i="4"/>
  <c r="I336" i="4"/>
  <c r="J335" i="4"/>
  <c r="I335" i="4"/>
  <c r="J334" i="4"/>
  <c r="I334" i="4"/>
  <c r="J333" i="4"/>
  <c r="I333" i="4"/>
  <c r="J332" i="4"/>
  <c r="I332" i="4"/>
  <c r="J331" i="4"/>
  <c r="I331" i="4"/>
  <c r="J330" i="4"/>
  <c r="I330" i="4"/>
  <c r="J329" i="4"/>
  <c r="I329" i="4"/>
  <c r="J328" i="4"/>
  <c r="I328" i="4"/>
  <c r="J327" i="4"/>
  <c r="I327" i="4"/>
  <c r="J326" i="4"/>
  <c r="I326" i="4"/>
  <c r="J325" i="4"/>
  <c r="I325" i="4"/>
  <c r="J324" i="4"/>
  <c r="I324" i="4"/>
  <c r="J323" i="4"/>
  <c r="I323" i="4"/>
  <c r="J322" i="4"/>
  <c r="I322" i="4"/>
  <c r="J321" i="4"/>
  <c r="I321" i="4"/>
  <c r="J320" i="4"/>
  <c r="I320" i="4"/>
  <c r="J319" i="4"/>
  <c r="I319" i="4"/>
  <c r="J318" i="4"/>
  <c r="I318" i="4"/>
  <c r="J317" i="4"/>
  <c r="I317" i="4"/>
  <c r="J316" i="4"/>
  <c r="I316" i="4"/>
  <c r="J315" i="4"/>
  <c r="I315" i="4"/>
  <c r="J314" i="4"/>
  <c r="I314" i="4"/>
  <c r="J313" i="4"/>
  <c r="I313" i="4"/>
  <c r="J312" i="4"/>
  <c r="I312" i="4"/>
  <c r="J311" i="4"/>
  <c r="I311" i="4"/>
  <c r="J310" i="4"/>
  <c r="I310" i="4"/>
  <c r="J309" i="4"/>
  <c r="I309" i="4"/>
  <c r="J308" i="4"/>
  <c r="I308" i="4"/>
  <c r="J307" i="4"/>
  <c r="I307" i="4"/>
  <c r="J306" i="4"/>
  <c r="I306" i="4"/>
  <c r="J305" i="4"/>
  <c r="I305" i="4"/>
  <c r="J304" i="4"/>
  <c r="I304" i="4"/>
  <c r="J303" i="4"/>
  <c r="I303" i="4"/>
  <c r="J302" i="4"/>
  <c r="I302" i="4"/>
  <c r="J301" i="4"/>
  <c r="I301" i="4"/>
  <c r="J300" i="4"/>
  <c r="I300" i="4"/>
  <c r="J299" i="4"/>
  <c r="I299" i="4"/>
  <c r="J298" i="4"/>
  <c r="I298" i="4"/>
  <c r="J297" i="4"/>
  <c r="I297" i="4"/>
  <c r="J296" i="4"/>
  <c r="I296" i="4"/>
  <c r="J295" i="4"/>
  <c r="I295" i="4"/>
  <c r="J294" i="4"/>
  <c r="I294" i="4"/>
  <c r="J293" i="4"/>
  <c r="I293" i="4"/>
  <c r="J292" i="4"/>
  <c r="I292" i="4"/>
  <c r="J291" i="4"/>
  <c r="I291" i="4"/>
  <c r="J290" i="4"/>
  <c r="I290" i="4"/>
  <c r="J289" i="4"/>
  <c r="I289" i="4"/>
  <c r="J288" i="4"/>
  <c r="I288" i="4"/>
  <c r="J287" i="4"/>
  <c r="I287" i="4"/>
  <c r="J286" i="4"/>
  <c r="I286" i="4"/>
  <c r="J285" i="4"/>
  <c r="I285" i="4"/>
  <c r="J284" i="4"/>
  <c r="I284" i="4"/>
  <c r="J283" i="4"/>
  <c r="I283" i="4"/>
  <c r="J282" i="4"/>
  <c r="I282" i="4"/>
  <c r="J281" i="4"/>
  <c r="I281" i="4"/>
  <c r="J280" i="4"/>
  <c r="I280" i="4"/>
  <c r="J279" i="4"/>
  <c r="I279" i="4"/>
  <c r="J278" i="4"/>
  <c r="I278" i="4"/>
  <c r="J277" i="4"/>
  <c r="I277" i="4"/>
  <c r="J276" i="4"/>
  <c r="I276" i="4"/>
  <c r="J275" i="4"/>
  <c r="I275" i="4"/>
  <c r="J274" i="4"/>
  <c r="I274" i="4"/>
  <c r="J273" i="4"/>
  <c r="I273" i="4"/>
  <c r="J272" i="4"/>
  <c r="I272" i="4"/>
  <c r="J271" i="4"/>
  <c r="I271" i="4"/>
  <c r="J270" i="4"/>
  <c r="I270" i="4"/>
  <c r="J269" i="4"/>
  <c r="I269" i="4"/>
  <c r="J268" i="4"/>
  <c r="I268" i="4"/>
  <c r="J267" i="4"/>
  <c r="I267" i="4"/>
  <c r="J266" i="4"/>
  <c r="I266" i="4"/>
  <c r="J265" i="4"/>
  <c r="I265" i="4"/>
  <c r="J264" i="4"/>
  <c r="I264" i="4"/>
  <c r="J263" i="4"/>
  <c r="I263" i="4"/>
  <c r="J262" i="4"/>
  <c r="I262" i="4"/>
  <c r="J261" i="4"/>
  <c r="I261" i="4"/>
  <c r="J260" i="4"/>
  <c r="I260" i="4"/>
  <c r="J259" i="4"/>
  <c r="I259" i="4"/>
  <c r="J258" i="4"/>
  <c r="I258" i="4"/>
  <c r="J257" i="4"/>
  <c r="I257" i="4"/>
  <c r="J256" i="4"/>
  <c r="I256" i="4"/>
  <c r="J255" i="4"/>
  <c r="I255" i="4"/>
  <c r="J254" i="4"/>
  <c r="I254" i="4"/>
  <c r="J253" i="4"/>
  <c r="I253" i="4"/>
  <c r="J252" i="4"/>
  <c r="I252" i="4"/>
  <c r="J251" i="4"/>
  <c r="I251" i="4"/>
  <c r="J250" i="4"/>
  <c r="I250" i="4"/>
  <c r="J249" i="4"/>
  <c r="I249" i="4"/>
  <c r="J248" i="4"/>
  <c r="I248" i="4"/>
  <c r="J247" i="4"/>
  <c r="I247" i="4"/>
  <c r="J246" i="4"/>
  <c r="I246" i="4"/>
  <c r="J244" i="4"/>
  <c r="I244" i="4"/>
  <c r="J243" i="4"/>
  <c r="I243" i="4"/>
  <c r="J242" i="4"/>
  <c r="I242" i="4"/>
  <c r="J241" i="4"/>
  <c r="I241" i="4"/>
  <c r="J240" i="4"/>
  <c r="I240" i="4"/>
  <c r="J239" i="4"/>
  <c r="I239" i="4"/>
  <c r="J238" i="4"/>
  <c r="I238" i="4"/>
  <c r="J237" i="4"/>
  <c r="I237" i="4"/>
  <c r="J236" i="4"/>
  <c r="I236" i="4"/>
  <c r="J235" i="4"/>
  <c r="I235" i="4"/>
  <c r="J234" i="4"/>
  <c r="I234" i="4"/>
  <c r="J233" i="4"/>
  <c r="I233" i="4"/>
  <c r="J232" i="4"/>
  <c r="I232" i="4"/>
  <c r="J231" i="4"/>
  <c r="I231" i="4"/>
  <c r="J230" i="4"/>
  <c r="I230" i="4"/>
  <c r="J229" i="4"/>
  <c r="I229" i="4"/>
  <c r="J228" i="4"/>
  <c r="I228" i="4"/>
  <c r="J227" i="4"/>
  <c r="I227" i="4"/>
  <c r="J226" i="4"/>
  <c r="I226" i="4"/>
  <c r="J225" i="4"/>
  <c r="I225" i="4"/>
  <c r="J224" i="4"/>
  <c r="I224" i="4"/>
  <c r="J223" i="4"/>
  <c r="I223" i="4"/>
  <c r="J222" i="4"/>
  <c r="I222" i="4"/>
  <c r="J221" i="4"/>
  <c r="I221" i="4"/>
  <c r="J220" i="4"/>
  <c r="I220" i="4"/>
  <c r="J219" i="4"/>
  <c r="I219" i="4"/>
  <c r="J218" i="4"/>
  <c r="I218" i="4"/>
  <c r="J217" i="4"/>
  <c r="I217" i="4"/>
  <c r="J216" i="4"/>
  <c r="I216" i="4"/>
  <c r="J215" i="4"/>
  <c r="I215" i="4"/>
  <c r="J214" i="4"/>
  <c r="I214" i="4"/>
  <c r="J213" i="4"/>
  <c r="I213" i="4"/>
  <c r="J212" i="4"/>
  <c r="I212" i="4"/>
  <c r="J211" i="4"/>
  <c r="I211" i="4"/>
  <c r="J210" i="4"/>
  <c r="I210" i="4"/>
  <c r="J209" i="4"/>
  <c r="I209" i="4"/>
  <c r="J208" i="4"/>
  <c r="I208" i="4"/>
  <c r="J207" i="4"/>
  <c r="I207" i="4"/>
  <c r="J206" i="4"/>
  <c r="I206" i="4"/>
  <c r="J205" i="4"/>
  <c r="I205" i="4"/>
  <c r="J204" i="4"/>
  <c r="I204" i="4"/>
  <c r="J203" i="4"/>
  <c r="I203" i="4"/>
  <c r="J202" i="4"/>
  <c r="I202" i="4"/>
  <c r="J201" i="4"/>
  <c r="I201" i="4"/>
  <c r="J200" i="4"/>
  <c r="I200" i="4"/>
  <c r="J199" i="4"/>
  <c r="I199" i="4"/>
  <c r="J198" i="4"/>
  <c r="I198" i="4"/>
  <c r="J197" i="4"/>
  <c r="I197" i="4"/>
  <c r="J196" i="4"/>
  <c r="I196" i="4"/>
  <c r="J195" i="4"/>
  <c r="I195" i="4"/>
  <c r="J193" i="4"/>
  <c r="I193" i="4"/>
  <c r="J192" i="4"/>
  <c r="I192" i="4"/>
  <c r="J191" i="4"/>
  <c r="I191" i="4"/>
  <c r="J190" i="4"/>
  <c r="I190" i="4"/>
  <c r="J189" i="4"/>
  <c r="I189" i="4"/>
  <c r="J188" i="4"/>
  <c r="I188" i="4"/>
  <c r="J187" i="4"/>
  <c r="I187" i="4"/>
  <c r="J186" i="4"/>
  <c r="I186" i="4"/>
  <c r="J185" i="4"/>
  <c r="I185" i="4"/>
  <c r="J184" i="4"/>
  <c r="I184" i="4"/>
  <c r="J183" i="4"/>
  <c r="I183" i="4"/>
  <c r="J182" i="4"/>
  <c r="I182" i="4"/>
  <c r="J181" i="4"/>
  <c r="I181" i="4"/>
  <c r="J180" i="4"/>
  <c r="I180" i="4"/>
  <c r="J179" i="4"/>
  <c r="I179" i="4"/>
  <c r="J178" i="4"/>
  <c r="I178" i="4"/>
  <c r="J177" i="4"/>
  <c r="I177" i="4"/>
  <c r="J176" i="4"/>
  <c r="I176" i="4"/>
  <c r="J175" i="4"/>
  <c r="I175" i="4"/>
  <c r="J174" i="4"/>
  <c r="I174" i="4"/>
  <c r="J173" i="4"/>
  <c r="I173" i="4"/>
  <c r="J172" i="4"/>
  <c r="I172" i="4"/>
  <c r="J171" i="4"/>
  <c r="I171" i="4"/>
  <c r="J170" i="4"/>
  <c r="I170" i="4"/>
  <c r="J169" i="4"/>
  <c r="I169" i="4"/>
  <c r="J168" i="4"/>
  <c r="I168" i="4"/>
  <c r="J167" i="4"/>
  <c r="I167" i="4"/>
  <c r="J166" i="4"/>
  <c r="I166" i="4"/>
  <c r="J165" i="4"/>
  <c r="I165" i="4"/>
  <c r="J164" i="4"/>
  <c r="I164" i="4"/>
  <c r="J163" i="4"/>
  <c r="I163" i="4"/>
  <c r="J162" i="4"/>
  <c r="I162" i="4"/>
  <c r="J161" i="4"/>
  <c r="I161" i="4"/>
  <c r="J160" i="4"/>
  <c r="I160" i="4"/>
  <c r="J159" i="4"/>
  <c r="I159" i="4"/>
  <c r="J158" i="4"/>
  <c r="I158" i="4"/>
  <c r="J157" i="4"/>
  <c r="I157" i="4"/>
  <c r="J156" i="4"/>
  <c r="I156" i="4"/>
  <c r="J155" i="4"/>
  <c r="I155" i="4"/>
  <c r="J154" i="4"/>
  <c r="I154" i="4"/>
  <c r="J153" i="4"/>
  <c r="I153" i="4"/>
  <c r="J152" i="4"/>
  <c r="I152" i="4"/>
  <c r="J151" i="4"/>
  <c r="I151" i="4"/>
  <c r="J150" i="4"/>
  <c r="I150" i="4"/>
  <c r="J149" i="4"/>
  <c r="I149" i="4"/>
  <c r="J148" i="4"/>
  <c r="I148" i="4"/>
  <c r="J147" i="4"/>
  <c r="I147" i="4"/>
  <c r="J146" i="4"/>
  <c r="I146" i="4"/>
  <c r="J145" i="4"/>
  <c r="I145" i="4"/>
  <c r="J144" i="4"/>
  <c r="I144" i="4"/>
  <c r="J143" i="4"/>
  <c r="I143" i="4"/>
  <c r="J142" i="4"/>
  <c r="I142" i="4"/>
  <c r="J141" i="4"/>
  <c r="I141" i="4"/>
  <c r="J140" i="4"/>
  <c r="I140" i="4"/>
  <c r="J139" i="4"/>
  <c r="I139" i="4"/>
  <c r="J138" i="4"/>
  <c r="I138" i="4"/>
  <c r="J137" i="4"/>
  <c r="I137" i="4"/>
  <c r="J136" i="4"/>
  <c r="I136" i="4"/>
  <c r="J135" i="4"/>
  <c r="I135" i="4"/>
  <c r="J134" i="4"/>
  <c r="I134" i="4"/>
  <c r="J133" i="4"/>
  <c r="I133" i="4"/>
  <c r="J132" i="4"/>
  <c r="I132" i="4"/>
  <c r="J131" i="4"/>
  <c r="I131" i="4"/>
  <c r="J130" i="4"/>
  <c r="I130" i="4"/>
  <c r="J129" i="4"/>
  <c r="I129" i="4"/>
  <c r="J128" i="4"/>
  <c r="I128" i="4"/>
  <c r="J127" i="4"/>
  <c r="I127" i="4"/>
  <c r="J126" i="4"/>
  <c r="I126" i="4"/>
  <c r="J125" i="4"/>
  <c r="I125" i="4"/>
  <c r="J124" i="4"/>
  <c r="I124" i="4"/>
  <c r="J123" i="4"/>
  <c r="I123" i="4"/>
  <c r="J121" i="4"/>
  <c r="I121" i="4"/>
  <c r="J120" i="4"/>
  <c r="I120" i="4"/>
  <c r="J119" i="4"/>
  <c r="I119" i="4"/>
  <c r="J118" i="4"/>
  <c r="I118" i="4"/>
  <c r="J117" i="4"/>
  <c r="I117" i="4"/>
  <c r="J116" i="4"/>
  <c r="I116" i="4"/>
  <c r="J115" i="4"/>
  <c r="I115" i="4"/>
  <c r="J114" i="4"/>
  <c r="I114" i="4"/>
  <c r="J113" i="4"/>
  <c r="I113" i="4"/>
  <c r="J112" i="4"/>
  <c r="I112" i="4"/>
  <c r="J111" i="4"/>
  <c r="I111" i="4"/>
  <c r="J110" i="4"/>
  <c r="I110" i="4"/>
  <c r="J109" i="4"/>
  <c r="I109" i="4"/>
  <c r="J108" i="4"/>
  <c r="I108" i="4"/>
  <c r="J107" i="4"/>
  <c r="I107" i="4"/>
  <c r="J106" i="4"/>
  <c r="I106" i="4"/>
  <c r="J105" i="4"/>
  <c r="I105" i="4"/>
  <c r="J104" i="4"/>
  <c r="I104" i="4"/>
  <c r="J103" i="4"/>
  <c r="I103" i="4"/>
  <c r="J102" i="4"/>
  <c r="I102" i="4"/>
  <c r="J101" i="4"/>
  <c r="I101" i="4"/>
  <c r="J100" i="4"/>
  <c r="I100" i="4"/>
  <c r="J98" i="4"/>
  <c r="I98" i="4"/>
  <c r="J97" i="4"/>
  <c r="I97" i="4"/>
  <c r="J96" i="4"/>
  <c r="I96" i="4"/>
  <c r="J95" i="4"/>
  <c r="I95" i="4"/>
  <c r="J94" i="4"/>
  <c r="I94" i="4"/>
  <c r="J93" i="4"/>
  <c r="I93" i="4"/>
  <c r="J92" i="4"/>
  <c r="I92" i="4"/>
  <c r="J91" i="4"/>
  <c r="I91" i="4"/>
  <c r="J90" i="4"/>
  <c r="I90" i="4"/>
  <c r="J89" i="4"/>
  <c r="I89" i="4"/>
  <c r="J88" i="4"/>
  <c r="I88" i="4"/>
  <c r="J87" i="4"/>
  <c r="I87" i="4"/>
  <c r="J86" i="4"/>
  <c r="I86" i="4"/>
  <c r="J85" i="4"/>
  <c r="I85" i="4"/>
  <c r="J84" i="4"/>
  <c r="I84" i="4"/>
  <c r="J83" i="4"/>
  <c r="I83" i="4"/>
  <c r="J82" i="4"/>
  <c r="I82" i="4"/>
  <c r="J81" i="4"/>
  <c r="I81" i="4"/>
  <c r="J80" i="4"/>
  <c r="I80" i="4"/>
  <c r="J79" i="4"/>
  <c r="I79" i="4"/>
  <c r="J78" i="4"/>
  <c r="I78" i="4"/>
  <c r="J77" i="4"/>
  <c r="I77" i="4"/>
  <c r="J76" i="4"/>
  <c r="I76" i="4"/>
  <c r="J75" i="4"/>
  <c r="I75" i="4"/>
  <c r="J74" i="4"/>
  <c r="I74" i="4"/>
  <c r="J73" i="4"/>
  <c r="I73" i="4"/>
  <c r="J72" i="4"/>
  <c r="I72" i="4"/>
  <c r="J71" i="4"/>
  <c r="I71" i="4"/>
  <c r="J70" i="4"/>
  <c r="I70" i="4"/>
  <c r="I69" i="4"/>
  <c r="J68" i="4"/>
  <c r="I68" i="4"/>
  <c r="J67" i="4"/>
  <c r="I67" i="4"/>
  <c r="J66" i="4"/>
  <c r="I66" i="4"/>
  <c r="J65" i="4"/>
  <c r="I65" i="4"/>
  <c r="J64" i="4"/>
  <c r="I64" i="4"/>
  <c r="J63" i="4"/>
  <c r="I63" i="4"/>
  <c r="J62" i="4"/>
  <c r="I62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48" i="4"/>
  <c r="I48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I34" i="4"/>
  <c r="J33" i="4"/>
  <c r="I33" i="4"/>
  <c r="J32" i="4"/>
  <c r="I32" i="4"/>
  <c r="J31" i="4"/>
  <c r="I31" i="4"/>
  <c r="J30" i="4"/>
  <c r="I30" i="4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J5" i="4"/>
  <c r="I5" i="4"/>
  <c r="J3" i="4"/>
  <c r="I3" i="4"/>
  <c r="R361" i="3"/>
  <c r="Q361" i="3"/>
  <c r="R360" i="3"/>
  <c r="Q360" i="3"/>
  <c r="R359" i="3"/>
  <c r="Q359" i="3"/>
  <c r="R358" i="3"/>
  <c r="Q358" i="3"/>
  <c r="R357" i="3"/>
  <c r="Q357" i="3"/>
  <c r="R356" i="3"/>
  <c r="Q356" i="3"/>
  <c r="R355" i="3"/>
  <c r="Q355" i="3"/>
  <c r="R354" i="3"/>
  <c r="Q354" i="3"/>
  <c r="R353" i="3"/>
  <c r="Q353" i="3"/>
  <c r="R352" i="3"/>
  <c r="Q352" i="3"/>
  <c r="R351" i="3"/>
  <c r="Q351" i="3"/>
  <c r="R350" i="3"/>
  <c r="Q350" i="3"/>
  <c r="R349" i="3"/>
  <c r="Q349" i="3"/>
  <c r="R348" i="3"/>
  <c r="Q348" i="3"/>
  <c r="R347" i="3"/>
  <c r="Q347" i="3"/>
  <c r="R346" i="3"/>
  <c r="Q346" i="3"/>
  <c r="R345" i="3"/>
  <c r="Q345" i="3"/>
  <c r="R344" i="3"/>
  <c r="Q344" i="3"/>
  <c r="R343" i="3"/>
  <c r="Q343" i="3"/>
  <c r="R342" i="3"/>
  <c r="Q342" i="3"/>
  <c r="R341" i="3"/>
  <c r="Q341" i="3"/>
  <c r="R340" i="3"/>
  <c r="Q340" i="3"/>
  <c r="R339" i="3"/>
  <c r="Q339" i="3"/>
  <c r="R338" i="3"/>
  <c r="Q338" i="3"/>
  <c r="R337" i="3"/>
  <c r="Q337" i="3"/>
  <c r="R336" i="3"/>
  <c r="Q336" i="3"/>
  <c r="R335" i="3"/>
  <c r="Q335" i="3"/>
  <c r="R334" i="3"/>
  <c r="Q334" i="3"/>
  <c r="R333" i="3"/>
  <c r="Q333" i="3"/>
  <c r="R332" i="3"/>
  <c r="Q332" i="3"/>
  <c r="R331" i="3"/>
  <c r="Q331" i="3"/>
  <c r="R330" i="3"/>
  <c r="Q330" i="3"/>
  <c r="R329" i="3"/>
  <c r="Q329" i="3"/>
  <c r="R328" i="3"/>
  <c r="Q328" i="3"/>
  <c r="R327" i="3"/>
  <c r="Q327" i="3"/>
  <c r="R326" i="3"/>
  <c r="Q326" i="3"/>
  <c r="R325" i="3"/>
  <c r="Q325" i="3"/>
  <c r="R324" i="3"/>
  <c r="Q324" i="3"/>
  <c r="R323" i="3"/>
  <c r="Q323" i="3"/>
  <c r="R322" i="3"/>
  <c r="Q322" i="3"/>
  <c r="R321" i="3"/>
  <c r="Q321" i="3"/>
  <c r="R320" i="3"/>
  <c r="Q320" i="3"/>
  <c r="R319" i="3"/>
  <c r="Q319" i="3"/>
  <c r="R318" i="3"/>
  <c r="Q318" i="3"/>
  <c r="R317" i="3"/>
  <c r="Q317" i="3"/>
  <c r="R316" i="3"/>
  <c r="Q316" i="3"/>
  <c r="R315" i="3"/>
  <c r="Q315" i="3"/>
  <c r="R314" i="3"/>
  <c r="Q314" i="3"/>
  <c r="R313" i="3"/>
  <c r="Q313" i="3"/>
  <c r="R312" i="3"/>
  <c r="Q312" i="3"/>
  <c r="R311" i="3"/>
  <c r="Q311" i="3"/>
  <c r="R310" i="3"/>
  <c r="Q310" i="3"/>
  <c r="R309" i="3"/>
  <c r="Q309" i="3"/>
  <c r="R308" i="3"/>
  <c r="Q308" i="3"/>
  <c r="R307" i="3"/>
  <c r="Q307" i="3"/>
  <c r="R306" i="3"/>
  <c r="Q306" i="3"/>
  <c r="R305" i="3"/>
  <c r="Q305" i="3"/>
  <c r="R304" i="3"/>
  <c r="Q304" i="3"/>
  <c r="R303" i="3"/>
  <c r="Q303" i="3"/>
  <c r="R302" i="3"/>
  <c r="Q302" i="3"/>
  <c r="R301" i="3"/>
  <c r="Q301" i="3"/>
  <c r="R300" i="3"/>
  <c r="Q300" i="3"/>
  <c r="R299" i="3"/>
  <c r="Q299" i="3"/>
  <c r="R298" i="3"/>
  <c r="Q298" i="3"/>
  <c r="R297" i="3"/>
  <c r="Q297" i="3"/>
  <c r="R296" i="3"/>
  <c r="Q296" i="3"/>
  <c r="R295" i="3"/>
  <c r="Q295" i="3"/>
  <c r="R294" i="3"/>
  <c r="Q294" i="3"/>
  <c r="R293" i="3"/>
  <c r="Q293" i="3"/>
  <c r="R292" i="3"/>
  <c r="Q292" i="3"/>
  <c r="R291" i="3"/>
  <c r="Q291" i="3"/>
  <c r="R290" i="3"/>
  <c r="Q290" i="3"/>
  <c r="R289" i="3"/>
  <c r="Q289" i="3"/>
  <c r="R288" i="3"/>
  <c r="Q288" i="3"/>
  <c r="R287" i="3"/>
  <c r="Q287" i="3"/>
  <c r="R286" i="3"/>
  <c r="Q286" i="3"/>
  <c r="R285" i="3"/>
  <c r="Q285" i="3"/>
  <c r="R284" i="3"/>
  <c r="Q284" i="3"/>
  <c r="R283" i="3"/>
  <c r="Q283" i="3"/>
  <c r="R282" i="3"/>
  <c r="Q282" i="3"/>
  <c r="R281" i="3"/>
  <c r="Q281" i="3"/>
  <c r="R280" i="3"/>
  <c r="Q280" i="3"/>
  <c r="R279" i="3"/>
  <c r="Q279" i="3"/>
  <c r="R278" i="3"/>
  <c r="Q278" i="3"/>
  <c r="R277" i="3"/>
  <c r="Q277" i="3"/>
  <c r="R276" i="3"/>
  <c r="Q276" i="3"/>
  <c r="R275" i="3"/>
  <c r="Q275" i="3"/>
  <c r="R274" i="3"/>
  <c r="Q274" i="3"/>
  <c r="R273" i="3"/>
  <c r="Q273" i="3"/>
  <c r="R272" i="3"/>
  <c r="Q272" i="3"/>
  <c r="R271" i="3"/>
  <c r="Q271" i="3"/>
  <c r="R270" i="3"/>
  <c r="Q270" i="3"/>
  <c r="R269" i="3"/>
  <c r="Q269" i="3"/>
  <c r="R268" i="3"/>
  <c r="Q268" i="3"/>
  <c r="R267" i="3"/>
  <c r="Q267" i="3"/>
  <c r="R266" i="3"/>
  <c r="Q266" i="3"/>
  <c r="R265" i="3"/>
  <c r="Q265" i="3"/>
  <c r="R264" i="3"/>
  <c r="Q264" i="3"/>
  <c r="R263" i="3"/>
  <c r="Q263" i="3"/>
  <c r="R262" i="3"/>
  <c r="Q262" i="3"/>
  <c r="R261" i="3"/>
  <c r="Q261" i="3"/>
  <c r="R260" i="3"/>
  <c r="Q260" i="3"/>
  <c r="R259" i="3"/>
  <c r="Q259" i="3"/>
  <c r="R258" i="3"/>
  <c r="Q258" i="3"/>
  <c r="R257" i="3"/>
  <c r="Q257" i="3"/>
  <c r="R256" i="3"/>
  <c r="Q256" i="3"/>
  <c r="R255" i="3"/>
  <c r="Q255" i="3"/>
  <c r="R254" i="3"/>
  <c r="Q254" i="3"/>
  <c r="R253" i="3"/>
  <c r="Q253" i="3"/>
  <c r="R252" i="3"/>
  <c r="Q252" i="3"/>
  <c r="R251" i="3"/>
  <c r="Q251" i="3"/>
  <c r="R250" i="3"/>
  <c r="Q250" i="3"/>
  <c r="R249" i="3"/>
  <c r="Q249" i="3"/>
  <c r="R248" i="3"/>
  <c r="Q248" i="3"/>
  <c r="R247" i="3"/>
  <c r="Q247" i="3"/>
  <c r="R246" i="3"/>
  <c r="Q246" i="3"/>
  <c r="R244" i="3"/>
  <c r="Q244" i="3"/>
  <c r="R243" i="3"/>
  <c r="Q243" i="3"/>
  <c r="R242" i="3"/>
  <c r="Q242" i="3"/>
  <c r="R241" i="3"/>
  <c r="Q241" i="3"/>
  <c r="R240" i="3"/>
  <c r="Q240" i="3"/>
  <c r="R239" i="3"/>
  <c r="Q239" i="3"/>
  <c r="R238" i="3"/>
  <c r="Q238" i="3"/>
  <c r="R237" i="3"/>
  <c r="Q237" i="3"/>
  <c r="R236" i="3"/>
  <c r="Q236" i="3"/>
  <c r="R235" i="3"/>
  <c r="Q235" i="3"/>
  <c r="R234" i="3"/>
  <c r="Q234" i="3"/>
  <c r="R233" i="3"/>
  <c r="Q233" i="3"/>
  <c r="R232" i="3"/>
  <c r="Q232" i="3"/>
  <c r="R231" i="3"/>
  <c r="Q231" i="3"/>
  <c r="R230" i="3"/>
  <c r="Q230" i="3"/>
  <c r="R229" i="3"/>
  <c r="Q229" i="3"/>
  <c r="R228" i="3"/>
  <c r="Q228" i="3"/>
  <c r="R227" i="3"/>
  <c r="Q227" i="3"/>
  <c r="R226" i="3"/>
  <c r="Q226" i="3"/>
  <c r="R225" i="3"/>
  <c r="Q225" i="3"/>
  <c r="R224" i="3"/>
  <c r="Q224" i="3"/>
  <c r="R223" i="3"/>
  <c r="Q223" i="3"/>
  <c r="R222" i="3"/>
  <c r="Q222" i="3"/>
  <c r="R221" i="3"/>
  <c r="Q221" i="3"/>
  <c r="R220" i="3"/>
  <c r="Q220" i="3"/>
  <c r="R219" i="3"/>
  <c r="Q219" i="3"/>
  <c r="R218" i="3"/>
  <c r="Q218" i="3"/>
  <c r="R217" i="3"/>
  <c r="Q217" i="3"/>
  <c r="R216" i="3"/>
  <c r="Q216" i="3"/>
  <c r="R215" i="3"/>
  <c r="Q215" i="3"/>
  <c r="R214" i="3"/>
  <c r="Q214" i="3"/>
  <c r="R213" i="3"/>
  <c r="Q213" i="3"/>
  <c r="R212" i="3"/>
  <c r="Q212" i="3"/>
  <c r="R211" i="3"/>
  <c r="Q211" i="3"/>
  <c r="R210" i="3"/>
  <c r="Q210" i="3"/>
  <c r="R209" i="3"/>
  <c r="Q209" i="3"/>
  <c r="R208" i="3"/>
  <c r="Q208" i="3"/>
  <c r="R207" i="3"/>
  <c r="Q207" i="3"/>
  <c r="R206" i="3"/>
  <c r="Q206" i="3"/>
  <c r="R205" i="3"/>
  <c r="Q205" i="3"/>
  <c r="R204" i="3"/>
  <c r="Q204" i="3"/>
  <c r="R203" i="3"/>
  <c r="Q203" i="3"/>
  <c r="R202" i="3"/>
  <c r="Q202" i="3"/>
  <c r="R201" i="3"/>
  <c r="Q201" i="3"/>
  <c r="R200" i="3"/>
  <c r="Q200" i="3"/>
  <c r="R199" i="3"/>
  <c r="Q199" i="3"/>
  <c r="R198" i="3"/>
  <c r="Q198" i="3"/>
  <c r="R197" i="3"/>
  <c r="Q197" i="3"/>
  <c r="R196" i="3"/>
  <c r="Q196" i="3"/>
  <c r="R195" i="3"/>
  <c r="Q195" i="3"/>
  <c r="R193" i="3"/>
  <c r="Q193" i="3"/>
  <c r="R192" i="3"/>
  <c r="Q192" i="3"/>
  <c r="R191" i="3"/>
  <c r="Q191" i="3"/>
  <c r="R190" i="3"/>
  <c r="Q190" i="3"/>
  <c r="R189" i="3"/>
  <c r="Q189" i="3"/>
  <c r="R188" i="3"/>
  <c r="Q188" i="3"/>
  <c r="R187" i="3"/>
  <c r="Q187" i="3"/>
  <c r="R186" i="3"/>
  <c r="Q186" i="3"/>
  <c r="R185" i="3"/>
  <c r="Q185" i="3"/>
  <c r="R184" i="3"/>
  <c r="Q184" i="3"/>
  <c r="R183" i="3"/>
  <c r="Q183" i="3"/>
  <c r="R182" i="3"/>
  <c r="Q182" i="3"/>
  <c r="R181" i="3"/>
  <c r="Q181" i="3"/>
  <c r="R180" i="3"/>
  <c r="Q180" i="3"/>
  <c r="R179" i="3"/>
  <c r="Q179" i="3"/>
  <c r="R178" i="3"/>
  <c r="Q178" i="3"/>
  <c r="R177" i="3"/>
  <c r="Q177" i="3"/>
  <c r="R176" i="3"/>
  <c r="Q176" i="3"/>
  <c r="R175" i="3"/>
  <c r="Q175" i="3"/>
  <c r="R174" i="3"/>
  <c r="Q174" i="3"/>
  <c r="R173" i="3"/>
  <c r="Q173" i="3"/>
  <c r="R172" i="3"/>
  <c r="Q172" i="3"/>
  <c r="R171" i="3"/>
  <c r="Q171" i="3"/>
  <c r="R170" i="3"/>
  <c r="Q170" i="3"/>
  <c r="R169" i="3"/>
  <c r="Q169" i="3"/>
  <c r="R168" i="3"/>
  <c r="Q168" i="3"/>
  <c r="R167" i="3"/>
  <c r="Q167" i="3"/>
  <c r="R166" i="3"/>
  <c r="Q166" i="3"/>
  <c r="R165" i="3"/>
  <c r="Q165" i="3"/>
  <c r="R164" i="3"/>
  <c r="Q164" i="3"/>
  <c r="R163" i="3"/>
  <c r="Q163" i="3"/>
  <c r="R162" i="3"/>
  <c r="Q162" i="3"/>
  <c r="R161" i="3"/>
  <c r="Q161" i="3"/>
  <c r="R160" i="3"/>
  <c r="Q160" i="3"/>
  <c r="R159" i="3"/>
  <c r="Q159" i="3"/>
  <c r="R158" i="3"/>
  <c r="Q158" i="3"/>
  <c r="R157" i="3"/>
  <c r="Q157" i="3"/>
  <c r="R156" i="3"/>
  <c r="Q156" i="3"/>
  <c r="R155" i="3"/>
  <c r="Q155" i="3"/>
  <c r="R154" i="3"/>
  <c r="Q154" i="3"/>
  <c r="R153" i="3"/>
  <c r="Q153" i="3"/>
  <c r="R152" i="3"/>
  <c r="Q152" i="3"/>
  <c r="R151" i="3"/>
  <c r="Q151" i="3"/>
  <c r="R150" i="3"/>
  <c r="Q150" i="3"/>
  <c r="R149" i="3"/>
  <c r="Q149" i="3"/>
  <c r="R148" i="3"/>
  <c r="Q148" i="3"/>
  <c r="R147" i="3"/>
  <c r="Q147" i="3"/>
  <c r="R146" i="3"/>
  <c r="Q146" i="3"/>
  <c r="R145" i="3"/>
  <c r="Q145" i="3"/>
  <c r="R144" i="3"/>
  <c r="Q144" i="3"/>
  <c r="R143" i="3"/>
  <c r="Q143" i="3"/>
  <c r="R142" i="3"/>
  <c r="Q142" i="3"/>
  <c r="R141" i="3"/>
  <c r="Q141" i="3"/>
  <c r="R140" i="3"/>
  <c r="Q140" i="3"/>
  <c r="R139" i="3"/>
  <c r="Q139" i="3"/>
  <c r="R138" i="3"/>
  <c r="Q138" i="3"/>
  <c r="R137" i="3"/>
  <c r="Q137" i="3"/>
  <c r="R136" i="3"/>
  <c r="Q136" i="3"/>
  <c r="R135" i="3"/>
  <c r="Q135" i="3"/>
  <c r="R134" i="3"/>
  <c r="Q134" i="3"/>
  <c r="R133" i="3"/>
  <c r="Q133" i="3"/>
  <c r="R132" i="3"/>
  <c r="Q132" i="3"/>
  <c r="R131" i="3"/>
  <c r="Q131" i="3"/>
  <c r="R130" i="3"/>
  <c r="Q130" i="3"/>
  <c r="R129" i="3"/>
  <c r="Q129" i="3"/>
  <c r="R128" i="3"/>
  <c r="Q128" i="3"/>
  <c r="R127" i="3"/>
  <c r="Q127" i="3"/>
  <c r="R126" i="3"/>
  <c r="Q126" i="3"/>
  <c r="R125" i="3"/>
  <c r="Q125" i="3"/>
  <c r="R124" i="3"/>
  <c r="Q124" i="3"/>
  <c r="R123" i="3"/>
  <c r="Q123" i="3"/>
  <c r="R121" i="3"/>
  <c r="Q121" i="3"/>
  <c r="R120" i="3"/>
  <c r="Q120" i="3"/>
  <c r="R119" i="3"/>
  <c r="Q119" i="3"/>
  <c r="R118" i="3"/>
  <c r="Q118" i="3"/>
  <c r="R117" i="3"/>
  <c r="Q117" i="3"/>
  <c r="R116" i="3"/>
  <c r="Q116" i="3"/>
  <c r="R115" i="3"/>
  <c r="Q115" i="3"/>
  <c r="R114" i="3"/>
  <c r="Q114" i="3"/>
  <c r="R113" i="3"/>
  <c r="Q113" i="3"/>
  <c r="R112" i="3"/>
  <c r="Q112" i="3"/>
  <c r="R111" i="3"/>
  <c r="Q111" i="3"/>
  <c r="R110" i="3"/>
  <c r="Q110" i="3"/>
  <c r="R109" i="3"/>
  <c r="Q109" i="3"/>
  <c r="R108" i="3"/>
  <c r="Q108" i="3"/>
  <c r="R107" i="3"/>
  <c r="Q107" i="3"/>
  <c r="R106" i="3"/>
  <c r="Q106" i="3"/>
  <c r="R105" i="3"/>
  <c r="Q105" i="3"/>
  <c r="R104" i="3"/>
  <c r="Q104" i="3"/>
  <c r="R103" i="3"/>
  <c r="Q103" i="3"/>
  <c r="R102" i="3"/>
  <c r="Q102" i="3"/>
  <c r="R101" i="3"/>
  <c r="Q101" i="3"/>
  <c r="R100" i="3"/>
  <c r="Q100" i="3"/>
  <c r="R98" i="3"/>
  <c r="Q98" i="3"/>
  <c r="R97" i="3"/>
  <c r="Q97" i="3"/>
  <c r="R96" i="3"/>
  <c r="Q96" i="3"/>
  <c r="R95" i="3"/>
  <c r="Q95" i="3"/>
  <c r="R94" i="3"/>
  <c r="Q94" i="3"/>
  <c r="R93" i="3"/>
  <c r="Q93" i="3"/>
  <c r="R92" i="3"/>
  <c r="Q92" i="3"/>
  <c r="R91" i="3"/>
  <c r="Q91" i="3"/>
  <c r="R90" i="3"/>
  <c r="Q90" i="3"/>
  <c r="R89" i="3"/>
  <c r="Q89" i="3"/>
  <c r="R88" i="3"/>
  <c r="Q88" i="3"/>
  <c r="R87" i="3"/>
  <c r="Q87" i="3"/>
  <c r="R86" i="3"/>
  <c r="Q86" i="3"/>
  <c r="R85" i="3"/>
  <c r="Q85" i="3"/>
  <c r="R84" i="3"/>
  <c r="Q84" i="3"/>
  <c r="R83" i="3"/>
  <c r="Q83" i="3"/>
  <c r="R82" i="3"/>
  <c r="Q82" i="3"/>
  <c r="R81" i="3"/>
  <c r="Q81" i="3"/>
  <c r="R80" i="3"/>
  <c r="Q80" i="3"/>
  <c r="R79" i="3"/>
  <c r="Q79" i="3"/>
  <c r="R78" i="3"/>
  <c r="Q78" i="3"/>
  <c r="R77" i="3"/>
  <c r="Q77" i="3"/>
  <c r="R76" i="3"/>
  <c r="Q76" i="3"/>
  <c r="R75" i="3"/>
  <c r="Q75" i="3"/>
  <c r="R74" i="3"/>
  <c r="Q74" i="3"/>
  <c r="R73" i="3"/>
  <c r="Q73" i="3"/>
  <c r="R72" i="3"/>
  <c r="Q72" i="3"/>
  <c r="R71" i="3"/>
  <c r="Q71" i="3"/>
  <c r="R70" i="3"/>
  <c r="Q70" i="3"/>
  <c r="R69" i="3"/>
  <c r="Q69" i="3"/>
  <c r="R68" i="3"/>
  <c r="Q68" i="3"/>
  <c r="R67" i="3"/>
  <c r="Q67" i="3"/>
  <c r="R66" i="3"/>
  <c r="Q66" i="3"/>
  <c r="R65" i="3"/>
  <c r="Q65" i="3"/>
  <c r="R64" i="3"/>
  <c r="Q64" i="3"/>
  <c r="R63" i="3"/>
  <c r="Q63" i="3"/>
  <c r="R62" i="3"/>
  <c r="Q62" i="3"/>
  <c r="R61" i="3"/>
  <c r="Q61" i="3"/>
  <c r="R60" i="3"/>
  <c r="Q60" i="3"/>
  <c r="R59" i="3"/>
  <c r="Q59" i="3"/>
  <c r="R58" i="3"/>
  <c r="Q58" i="3"/>
  <c r="R57" i="3"/>
  <c r="Q57" i="3"/>
  <c r="R56" i="3"/>
  <c r="Q56" i="3"/>
  <c r="R55" i="3"/>
  <c r="Q55" i="3"/>
  <c r="R54" i="3"/>
  <c r="Q54" i="3"/>
  <c r="R53" i="3"/>
  <c r="Q53" i="3"/>
  <c r="R52" i="3"/>
  <c r="Q52" i="3"/>
  <c r="R48" i="3"/>
  <c r="Q48" i="3"/>
  <c r="R46" i="3"/>
  <c r="Q46" i="3"/>
  <c r="R45" i="3"/>
  <c r="Q45" i="3"/>
  <c r="R44" i="3"/>
  <c r="Q44" i="3"/>
  <c r="R43" i="3"/>
  <c r="Q43" i="3"/>
  <c r="R42" i="3"/>
  <c r="Q42" i="3"/>
  <c r="R41" i="3"/>
  <c r="Q41" i="3"/>
  <c r="R40" i="3"/>
  <c r="Q40" i="3"/>
  <c r="R39" i="3"/>
  <c r="Q39" i="3"/>
  <c r="R38" i="3"/>
  <c r="Q38" i="3"/>
  <c r="R37" i="3"/>
  <c r="Q37" i="3"/>
  <c r="R36" i="3"/>
  <c r="Q36" i="3"/>
  <c r="R35" i="3"/>
  <c r="Q35" i="3"/>
  <c r="R34" i="3"/>
  <c r="Q34" i="3"/>
  <c r="R33" i="3"/>
  <c r="Q33" i="3"/>
  <c r="R32" i="3"/>
  <c r="Q32" i="3"/>
  <c r="R31" i="3"/>
  <c r="Q31" i="3"/>
  <c r="R30" i="3"/>
  <c r="Q30" i="3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R21" i="3"/>
  <c r="Q21" i="3"/>
  <c r="R20" i="3"/>
  <c r="Q20" i="3"/>
  <c r="R19" i="3"/>
  <c r="Q19" i="3"/>
  <c r="R18" i="3"/>
  <c r="Q18" i="3"/>
  <c r="R17" i="3"/>
  <c r="Q17" i="3"/>
  <c r="R16" i="3"/>
  <c r="Q16" i="3"/>
  <c r="R15" i="3"/>
  <c r="Q15" i="3"/>
  <c r="R14" i="3"/>
  <c r="Q14" i="3"/>
  <c r="R13" i="3"/>
  <c r="Q13" i="3"/>
  <c r="R12" i="3"/>
  <c r="Q12" i="3"/>
  <c r="R11" i="3"/>
  <c r="Q11" i="3"/>
  <c r="R10" i="3"/>
  <c r="Q10" i="3"/>
  <c r="R9" i="3"/>
  <c r="Q9" i="3"/>
  <c r="R8" i="3"/>
  <c r="Q8" i="3"/>
  <c r="R7" i="3"/>
  <c r="Q7" i="3"/>
  <c r="R6" i="3"/>
  <c r="Q6" i="3"/>
  <c r="R5" i="3"/>
  <c r="Q5" i="3"/>
  <c r="R3" i="3"/>
  <c r="Q3" i="3"/>
  <c r="N361" i="2"/>
  <c r="M361" i="2"/>
  <c r="N360" i="2"/>
  <c r="M360" i="2"/>
  <c r="N359" i="2"/>
  <c r="M359" i="2"/>
  <c r="N358" i="2"/>
  <c r="M358" i="2"/>
  <c r="N357" i="2"/>
  <c r="M357" i="2"/>
  <c r="N356" i="2"/>
  <c r="M356" i="2"/>
  <c r="N355" i="2"/>
  <c r="M355" i="2"/>
  <c r="N354" i="2"/>
  <c r="M354" i="2"/>
  <c r="N353" i="2"/>
  <c r="M353" i="2"/>
  <c r="N352" i="2"/>
  <c r="M352" i="2"/>
  <c r="N351" i="2"/>
  <c r="M351" i="2"/>
  <c r="N350" i="2"/>
  <c r="M350" i="2"/>
  <c r="N349" i="2"/>
  <c r="M349" i="2"/>
  <c r="N348" i="2"/>
  <c r="M348" i="2"/>
  <c r="N347" i="2"/>
  <c r="M347" i="2"/>
  <c r="N346" i="2"/>
  <c r="M346" i="2"/>
  <c r="N345" i="2"/>
  <c r="M345" i="2"/>
  <c r="N344" i="2"/>
  <c r="M344" i="2"/>
  <c r="N343" i="2"/>
  <c r="M343" i="2"/>
  <c r="N342" i="2"/>
  <c r="M342" i="2"/>
  <c r="N341" i="2"/>
  <c r="M341" i="2"/>
  <c r="N340" i="2"/>
  <c r="M340" i="2"/>
  <c r="N339" i="2"/>
  <c r="M339" i="2"/>
  <c r="N338" i="2"/>
  <c r="M338" i="2"/>
  <c r="N337" i="2"/>
  <c r="M337" i="2"/>
  <c r="N336" i="2"/>
  <c r="M336" i="2"/>
  <c r="N335" i="2"/>
  <c r="M335" i="2"/>
  <c r="N334" i="2"/>
  <c r="M334" i="2"/>
  <c r="N333" i="2"/>
  <c r="M333" i="2"/>
  <c r="N332" i="2"/>
  <c r="M332" i="2"/>
  <c r="N331" i="2"/>
  <c r="M331" i="2"/>
  <c r="N330" i="2"/>
  <c r="M330" i="2"/>
  <c r="N329" i="2"/>
  <c r="M329" i="2"/>
  <c r="N328" i="2"/>
  <c r="M328" i="2"/>
  <c r="N327" i="2"/>
  <c r="M327" i="2"/>
  <c r="N326" i="2"/>
  <c r="M326" i="2"/>
  <c r="N325" i="2"/>
  <c r="M325" i="2"/>
  <c r="N324" i="2"/>
  <c r="M324" i="2"/>
  <c r="N323" i="2"/>
  <c r="M323" i="2"/>
  <c r="N322" i="2"/>
  <c r="M322" i="2"/>
  <c r="N321" i="2"/>
  <c r="M321" i="2"/>
  <c r="N320" i="2"/>
  <c r="M320" i="2"/>
  <c r="N319" i="2"/>
  <c r="M319" i="2"/>
  <c r="N318" i="2"/>
  <c r="M318" i="2"/>
  <c r="N317" i="2"/>
  <c r="M317" i="2"/>
  <c r="N316" i="2"/>
  <c r="M316" i="2"/>
  <c r="N315" i="2"/>
  <c r="M315" i="2"/>
  <c r="N314" i="2"/>
  <c r="M314" i="2"/>
  <c r="N313" i="2"/>
  <c r="M313" i="2"/>
  <c r="N312" i="2"/>
  <c r="M312" i="2"/>
  <c r="N311" i="2"/>
  <c r="M311" i="2"/>
  <c r="N310" i="2"/>
  <c r="M310" i="2"/>
  <c r="N309" i="2"/>
  <c r="M309" i="2"/>
  <c r="N308" i="2"/>
  <c r="M308" i="2"/>
  <c r="N307" i="2"/>
  <c r="M307" i="2"/>
  <c r="N306" i="2"/>
  <c r="M306" i="2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4" i="2"/>
  <c r="M244" i="2"/>
  <c r="N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48" i="2"/>
  <c r="M48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3" i="2"/>
  <c r="M3" i="2"/>
  <c r="AO369" i="1"/>
  <c r="AN369" i="1"/>
  <c r="AI369" i="1"/>
  <c r="AH369" i="1"/>
  <c r="AC369" i="1"/>
  <c r="AB369" i="1"/>
  <c r="O369" i="1"/>
  <c r="AQ369" i="1" s="1"/>
  <c r="N369" i="1"/>
  <c r="AP369" i="1" s="1"/>
  <c r="AO368" i="1"/>
  <c r="AN368" i="1"/>
  <c r="AI368" i="1"/>
  <c r="AH368" i="1"/>
  <c r="AC368" i="1"/>
  <c r="AB368" i="1"/>
  <c r="O368" i="1"/>
  <c r="AQ368" i="1" s="1"/>
  <c r="N368" i="1"/>
  <c r="AP368" i="1" s="1"/>
  <c r="AO367" i="1"/>
  <c r="AN367" i="1"/>
  <c r="AI367" i="1"/>
  <c r="AH367" i="1"/>
  <c r="AC367" i="1"/>
  <c r="AB367" i="1"/>
  <c r="O367" i="1"/>
  <c r="AQ367" i="1" s="1"/>
  <c r="N367" i="1"/>
  <c r="AP367" i="1" s="1"/>
  <c r="AO366" i="1"/>
  <c r="AN366" i="1"/>
  <c r="AI366" i="1"/>
  <c r="AH366" i="1"/>
  <c r="AC366" i="1"/>
  <c r="AB366" i="1"/>
  <c r="O366" i="1"/>
  <c r="N366" i="1"/>
  <c r="AP366" i="1" s="1"/>
  <c r="AO365" i="1"/>
  <c r="AN365" i="1"/>
  <c r="AI365" i="1"/>
  <c r="AH365" i="1"/>
  <c r="AC365" i="1"/>
  <c r="AB365" i="1"/>
  <c r="O365" i="1"/>
  <c r="N365" i="1"/>
  <c r="AP365" i="1" s="1"/>
  <c r="AO364" i="1"/>
  <c r="AN364" i="1"/>
  <c r="AI364" i="1"/>
  <c r="AH364" i="1"/>
  <c r="AC364" i="1"/>
  <c r="AB364" i="1"/>
  <c r="O364" i="1"/>
  <c r="AQ364" i="1" s="1"/>
  <c r="N364" i="1"/>
  <c r="AP364" i="1" s="1"/>
  <c r="AO363" i="1"/>
  <c r="AN363" i="1"/>
  <c r="AI363" i="1"/>
  <c r="AH363" i="1"/>
  <c r="AC363" i="1"/>
  <c r="AB363" i="1"/>
  <c r="O363" i="1"/>
  <c r="AQ363" i="1" s="1"/>
  <c r="N363" i="1"/>
  <c r="AP363" i="1" s="1"/>
  <c r="AO362" i="1"/>
  <c r="AN362" i="1"/>
  <c r="AI362" i="1"/>
  <c r="AH362" i="1"/>
  <c r="AC362" i="1"/>
  <c r="AB362" i="1"/>
  <c r="O362" i="1"/>
  <c r="N362" i="1"/>
  <c r="AP362" i="1" s="1"/>
  <c r="AO361" i="1"/>
  <c r="AN361" i="1"/>
  <c r="AI361" i="1"/>
  <c r="AH361" i="1"/>
  <c r="AC361" i="1"/>
  <c r="AB361" i="1"/>
  <c r="O361" i="1"/>
  <c r="AQ361" i="1" s="1"/>
  <c r="N361" i="1"/>
  <c r="AP361" i="1" s="1"/>
  <c r="AO360" i="1"/>
  <c r="AN360" i="1"/>
  <c r="AI360" i="1"/>
  <c r="AH360" i="1"/>
  <c r="AC360" i="1"/>
  <c r="AB360" i="1"/>
  <c r="O360" i="1"/>
  <c r="AQ360" i="1" s="1"/>
  <c r="N360" i="1"/>
  <c r="AP360" i="1" s="1"/>
  <c r="AO359" i="1"/>
  <c r="AN359" i="1"/>
  <c r="AI359" i="1"/>
  <c r="AH359" i="1"/>
  <c r="AC359" i="1"/>
  <c r="AB359" i="1"/>
  <c r="O359" i="1"/>
  <c r="AQ359" i="1" s="1"/>
  <c r="N359" i="1"/>
  <c r="AP359" i="1" s="1"/>
  <c r="AO358" i="1"/>
  <c r="AN358" i="1"/>
  <c r="AI358" i="1"/>
  <c r="AH358" i="1"/>
  <c r="AC358" i="1"/>
  <c r="AB358" i="1"/>
  <c r="O358" i="1"/>
  <c r="AQ358" i="1" s="1"/>
  <c r="N358" i="1"/>
  <c r="AP358" i="1" s="1"/>
  <c r="AO357" i="1"/>
  <c r="AN357" i="1"/>
  <c r="AI357" i="1"/>
  <c r="AH357" i="1"/>
  <c r="AC357" i="1"/>
  <c r="AB357" i="1"/>
  <c r="O357" i="1"/>
  <c r="N357" i="1"/>
  <c r="AP357" i="1" s="1"/>
  <c r="AQ356" i="1"/>
  <c r="AO356" i="1"/>
  <c r="AN356" i="1"/>
  <c r="AI356" i="1"/>
  <c r="AH356" i="1"/>
  <c r="AC356" i="1"/>
  <c r="AB356" i="1"/>
  <c r="O356" i="1"/>
  <c r="N356" i="1"/>
  <c r="AP356" i="1" s="1"/>
  <c r="AO355" i="1"/>
  <c r="AN355" i="1"/>
  <c r="AI355" i="1"/>
  <c r="AH355" i="1"/>
  <c r="AC355" i="1"/>
  <c r="AB355" i="1"/>
  <c r="O355" i="1"/>
  <c r="N355" i="1"/>
  <c r="AP355" i="1" s="1"/>
  <c r="AO354" i="1"/>
  <c r="AN354" i="1"/>
  <c r="AI354" i="1"/>
  <c r="AH354" i="1"/>
  <c r="AC354" i="1"/>
  <c r="AB354" i="1"/>
  <c r="O354" i="1"/>
  <c r="AQ354" i="1" s="1"/>
  <c r="N354" i="1"/>
  <c r="AP354" i="1" s="1"/>
  <c r="AO353" i="1"/>
  <c r="AN353" i="1"/>
  <c r="AI353" i="1"/>
  <c r="AH353" i="1"/>
  <c r="AC353" i="1"/>
  <c r="AB353" i="1"/>
  <c r="O353" i="1"/>
  <c r="N353" i="1"/>
  <c r="AP353" i="1" s="1"/>
  <c r="AQ352" i="1"/>
  <c r="AO352" i="1"/>
  <c r="AN352" i="1"/>
  <c r="AI352" i="1"/>
  <c r="AH352" i="1"/>
  <c r="AC352" i="1"/>
  <c r="AB352" i="1"/>
  <c r="O352" i="1"/>
  <c r="N352" i="1"/>
  <c r="AP352" i="1" s="1"/>
  <c r="AO351" i="1"/>
  <c r="AN351" i="1"/>
  <c r="AI351" i="1"/>
  <c r="AH351" i="1"/>
  <c r="AC351" i="1"/>
  <c r="AB351" i="1"/>
  <c r="O351" i="1"/>
  <c r="AQ351" i="1" s="1"/>
  <c r="N351" i="1"/>
  <c r="AP351" i="1" s="1"/>
  <c r="AO350" i="1"/>
  <c r="AN350" i="1"/>
  <c r="AI350" i="1"/>
  <c r="AH350" i="1"/>
  <c r="AC350" i="1"/>
  <c r="AB350" i="1"/>
  <c r="O350" i="1"/>
  <c r="AQ350" i="1" s="1"/>
  <c r="N350" i="1"/>
  <c r="AP350" i="1" s="1"/>
  <c r="AO349" i="1"/>
  <c r="AN349" i="1"/>
  <c r="AI349" i="1"/>
  <c r="AH349" i="1"/>
  <c r="AC349" i="1"/>
  <c r="AB349" i="1"/>
  <c r="O349" i="1"/>
  <c r="AQ349" i="1" s="1"/>
  <c r="N349" i="1"/>
  <c r="AP349" i="1" s="1"/>
  <c r="AO348" i="1"/>
  <c r="AN348" i="1"/>
  <c r="AI348" i="1"/>
  <c r="AH348" i="1"/>
  <c r="AC348" i="1"/>
  <c r="AB348" i="1"/>
  <c r="O348" i="1"/>
  <c r="AQ348" i="1" s="1"/>
  <c r="N348" i="1"/>
  <c r="AP348" i="1" s="1"/>
  <c r="AO347" i="1"/>
  <c r="AN347" i="1"/>
  <c r="AI347" i="1"/>
  <c r="AH347" i="1"/>
  <c r="AC347" i="1"/>
  <c r="AB347" i="1"/>
  <c r="O347" i="1"/>
  <c r="AQ347" i="1" s="1"/>
  <c r="N347" i="1"/>
  <c r="AP347" i="1" s="1"/>
  <c r="AO346" i="1"/>
  <c r="AN346" i="1"/>
  <c r="AI346" i="1"/>
  <c r="AH346" i="1"/>
  <c r="AC346" i="1"/>
  <c r="AB346" i="1"/>
  <c r="O346" i="1"/>
  <c r="AQ346" i="1" s="1"/>
  <c r="N346" i="1"/>
  <c r="AP346" i="1" s="1"/>
  <c r="AO345" i="1"/>
  <c r="AN345" i="1"/>
  <c r="AI345" i="1"/>
  <c r="AH345" i="1"/>
  <c r="AC345" i="1"/>
  <c r="AB345" i="1"/>
  <c r="O345" i="1"/>
  <c r="AQ345" i="1" s="1"/>
  <c r="N345" i="1"/>
  <c r="AP345" i="1" s="1"/>
  <c r="AQ344" i="1"/>
  <c r="AO344" i="1"/>
  <c r="AN344" i="1"/>
  <c r="AI344" i="1"/>
  <c r="AH344" i="1"/>
  <c r="AC344" i="1"/>
  <c r="AB344" i="1"/>
  <c r="O344" i="1"/>
  <c r="N344" i="1"/>
  <c r="AP344" i="1" s="1"/>
  <c r="AO343" i="1"/>
  <c r="AN343" i="1"/>
  <c r="AI343" i="1"/>
  <c r="AH343" i="1"/>
  <c r="AC343" i="1"/>
  <c r="AB343" i="1"/>
  <c r="O343" i="1"/>
  <c r="N343" i="1"/>
  <c r="AP343" i="1" s="1"/>
  <c r="AO342" i="1"/>
  <c r="AN342" i="1"/>
  <c r="AI342" i="1"/>
  <c r="AH342" i="1"/>
  <c r="AC342" i="1"/>
  <c r="AB342" i="1"/>
  <c r="O342" i="1"/>
  <c r="N342" i="1"/>
  <c r="AP342" i="1" s="1"/>
  <c r="AO341" i="1"/>
  <c r="AN341" i="1"/>
  <c r="AI341" i="1"/>
  <c r="AH341" i="1"/>
  <c r="AC341" i="1"/>
  <c r="AB341" i="1"/>
  <c r="O341" i="1"/>
  <c r="N341" i="1"/>
  <c r="AP341" i="1" s="1"/>
  <c r="AQ340" i="1"/>
  <c r="AO340" i="1"/>
  <c r="AN340" i="1"/>
  <c r="AI340" i="1"/>
  <c r="AH340" i="1"/>
  <c r="AC340" i="1"/>
  <c r="AB340" i="1"/>
  <c r="O340" i="1"/>
  <c r="N340" i="1"/>
  <c r="AP340" i="1" s="1"/>
  <c r="AO339" i="1"/>
  <c r="AN339" i="1"/>
  <c r="AI339" i="1"/>
  <c r="AH339" i="1"/>
  <c r="AC339" i="1"/>
  <c r="AB339" i="1"/>
  <c r="O339" i="1"/>
  <c r="N339" i="1"/>
  <c r="AP339" i="1" s="1"/>
  <c r="AO338" i="1"/>
  <c r="AN338" i="1"/>
  <c r="AI338" i="1"/>
  <c r="AH338" i="1"/>
  <c r="AC338" i="1"/>
  <c r="AB338" i="1"/>
  <c r="O338" i="1"/>
  <c r="N338" i="1"/>
  <c r="AP338" i="1" s="1"/>
  <c r="AO337" i="1"/>
  <c r="AN337" i="1"/>
  <c r="AI337" i="1"/>
  <c r="AH337" i="1"/>
  <c r="AC337" i="1"/>
  <c r="AB337" i="1"/>
  <c r="O337" i="1"/>
  <c r="N337" i="1"/>
  <c r="AP337" i="1" s="1"/>
  <c r="AQ336" i="1"/>
  <c r="AO336" i="1"/>
  <c r="AN336" i="1"/>
  <c r="AI336" i="1"/>
  <c r="AH336" i="1"/>
  <c r="AC336" i="1"/>
  <c r="AB336" i="1"/>
  <c r="O336" i="1"/>
  <c r="N336" i="1"/>
  <c r="AP336" i="1" s="1"/>
  <c r="AO335" i="1"/>
  <c r="AN335" i="1"/>
  <c r="AI335" i="1"/>
  <c r="AH335" i="1"/>
  <c r="AC335" i="1"/>
  <c r="AB335" i="1"/>
  <c r="O335" i="1"/>
  <c r="AQ335" i="1" s="1"/>
  <c r="N335" i="1"/>
  <c r="AP335" i="1" s="1"/>
  <c r="AO334" i="1"/>
  <c r="AN334" i="1"/>
  <c r="AI334" i="1"/>
  <c r="AH334" i="1"/>
  <c r="AC334" i="1"/>
  <c r="AB334" i="1"/>
  <c r="O334" i="1"/>
  <c r="N334" i="1"/>
  <c r="AP334" i="1" s="1"/>
  <c r="AO333" i="1"/>
  <c r="AN333" i="1"/>
  <c r="AI333" i="1"/>
  <c r="AH333" i="1"/>
  <c r="AC333" i="1"/>
  <c r="AB333" i="1"/>
  <c r="O333" i="1"/>
  <c r="N333" i="1"/>
  <c r="AP333" i="1" s="1"/>
  <c r="AO332" i="1"/>
  <c r="AN332" i="1"/>
  <c r="AI332" i="1"/>
  <c r="AH332" i="1"/>
  <c r="AC332" i="1"/>
  <c r="AB332" i="1"/>
  <c r="O332" i="1"/>
  <c r="AQ332" i="1" s="1"/>
  <c r="N332" i="1"/>
  <c r="AP332" i="1" s="1"/>
  <c r="AO331" i="1"/>
  <c r="AN331" i="1"/>
  <c r="AI331" i="1"/>
  <c r="AH331" i="1"/>
  <c r="AC331" i="1"/>
  <c r="AB331" i="1"/>
  <c r="O331" i="1"/>
  <c r="AQ331" i="1" s="1"/>
  <c r="N331" i="1"/>
  <c r="AP331" i="1" s="1"/>
  <c r="AO330" i="1"/>
  <c r="AN330" i="1"/>
  <c r="AI330" i="1"/>
  <c r="AH330" i="1"/>
  <c r="AC330" i="1"/>
  <c r="AB330" i="1"/>
  <c r="O330" i="1"/>
  <c r="N330" i="1"/>
  <c r="AP330" i="1" s="1"/>
  <c r="AO329" i="1"/>
  <c r="AN329" i="1"/>
  <c r="AI329" i="1"/>
  <c r="AH329" i="1"/>
  <c r="AC329" i="1"/>
  <c r="AB329" i="1"/>
  <c r="O329" i="1"/>
  <c r="AQ329" i="1" s="1"/>
  <c r="N329" i="1"/>
  <c r="AP329" i="1" s="1"/>
  <c r="AO328" i="1"/>
  <c r="AN328" i="1"/>
  <c r="AI328" i="1"/>
  <c r="AH328" i="1"/>
  <c r="AC328" i="1"/>
  <c r="AB328" i="1"/>
  <c r="O328" i="1"/>
  <c r="AQ328" i="1" s="1"/>
  <c r="N328" i="1"/>
  <c r="AP328" i="1" s="1"/>
  <c r="AO327" i="1"/>
  <c r="AN327" i="1"/>
  <c r="AI327" i="1"/>
  <c r="AH327" i="1"/>
  <c r="AC327" i="1"/>
  <c r="AB327" i="1"/>
  <c r="O327" i="1"/>
  <c r="AQ327" i="1" s="1"/>
  <c r="N327" i="1"/>
  <c r="AP327" i="1" s="1"/>
  <c r="AO326" i="1"/>
  <c r="AN326" i="1"/>
  <c r="AI326" i="1"/>
  <c r="AH326" i="1"/>
  <c r="AC326" i="1"/>
  <c r="AB326" i="1"/>
  <c r="O326" i="1"/>
  <c r="AQ326" i="1" s="1"/>
  <c r="N326" i="1"/>
  <c r="AP326" i="1" s="1"/>
  <c r="AO325" i="1"/>
  <c r="AN325" i="1"/>
  <c r="AI325" i="1"/>
  <c r="AH325" i="1"/>
  <c r="AC325" i="1"/>
  <c r="AB325" i="1"/>
  <c r="O325" i="1"/>
  <c r="N325" i="1"/>
  <c r="AP325" i="1" s="1"/>
  <c r="AQ324" i="1"/>
  <c r="AO324" i="1"/>
  <c r="AN324" i="1"/>
  <c r="AI324" i="1"/>
  <c r="AH324" i="1"/>
  <c r="AC324" i="1"/>
  <c r="AB324" i="1"/>
  <c r="O324" i="1"/>
  <c r="N324" i="1"/>
  <c r="AP324" i="1" s="1"/>
  <c r="AO323" i="1"/>
  <c r="AN323" i="1"/>
  <c r="AI323" i="1"/>
  <c r="AH323" i="1"/>
  <c r="AC323" i="1"/>
  <c r="AB323" i="1"/>
  <c r="O323" i="1"/>
  <c r="N323" i="1"/>
  <c r="AP323" i="1" s="1"/>
  <c r="AO322" i="1"/>
  <c r="AN322" i="1"/>
  <c r="AI322" i="1"/>
  <c r="AH322" i="1"/>
  <c r="AC322" i="1"/>
  <c r="AB322" i="1"/>
  <c r="O322" i="1"/>
  <c r="AQ322" i="1" s="1"/>
  <c r="N322" i="1"/>
  <c r="AP322" i="1" s="1"/>
  <c r="AO321" i="1"/>
  <c r="AN321" i="1"/>
  <c r="AI321" i="1"/>
  <c r="AH321" i="1"/>
  <c r="AC321" i="1"/>
  <c r="AB321" i="1"/>
  <c r="O321" i="1"/>
  <c r="N321" i="1"/>
  <c r="AP321" i="1" s="1"/>
  <c r="AQ320" i="1"/>
  <c r="AO320" i="1"/>
  <c r="AN320" i="1"/>
  <c r="AI320" i="1"/>
  <c r="AH320" i="1"/>
  <c r="AC320" i="1"/>
  <c r="AB320" i="1"/>
  <c r="O320" i="1"/>
  <c r="N320" i="1"/>
  <c r="AP320" i="1" s="1"/>
  <c r="AO319" i="1"/>
  <c r="AN319" i="1"/>
  <c r="AI319" i="1"/>
  <c r="AH319" i="1"/>
  <c r="AC319" i="1"/>
  <c r="AB319" i="1"/>
  <c r="O319" i="1"/>
  <c r="AQ319" i="1" s="1"/>
  <c r="N319" i="1"/>
  <c r="AP319" i="1" s="1"/>
  <c r="AO318" i="1"/>
  <c r="AN318" i="1"/>
  <c r="AI318" i="1"/>
  <c r="AH318" i="1"/>
  <c r="AC318" i="1"/>
  <c r="AB318" i="1"/>
  <c r="O318" i="1"/>
  <c r="AQ318" i="1" s="1"/>
  <c r="N318" i="1"/>
  <c r="AP318" i="1" s="1"/>
  <c r="AO317" i="1"/>
  <c r="AN317" i="1"/>
  <c r="AI317" i="1"/>
  <c r="AH317" i="1"/>
  <c r="AC317" i="1"/>
  <c r="AB317" i="1"/>
  <c r="O317" i="1"/>
  <c r="AQ317" i="1" s="1"/>
  <c r="N317" i="1"/>
  <c r="AP317" i="1" s="1"/>
  <c r="AO316" i="1"/>
  <c r="AN316" i="1"/>
  <c r="AI316" i="1"/>
  <c r="AH316" i="1"/>
  <c r="AC316" i="1"/>
  <c r="AB316" i="1"/>
  <c r="O316" i="1"/>
  <c r="AQ316" i="1" s="1"/>
  <c r="N316" i="1"/>
  <c r="AP316" i="1" s="1"/>
  <c r="AO315" i="1"/>
  <c r="AN315" i="1"/>
  <c r="AI315" i="1"/>
  <c r="AH315" i="1"/>
  <c r="AC315" i="1"/>
  <c r="AB315" i="1"/>
  <c r="O315" i="1"/>
  <c r="AQ315" i="1" s="1"/>
  <c r="N315" i="1"/>
  <c r="AP315" i="1" s="1"/>
  <c r="AO314" i="1"/>
  <c r="AN314" i="1"/>
  <c r="AI314" i="1"/>
  <c r="AH314" i="1"/>
  <c r="AC314" i="1"/>
  <c r="AB314" i="1"/>
  <c r="O314" i="1"/>
  <c r="AQ314" i="1" s="1"/>
  <c r="N314" i="1"/>
  <c r="AO313" i="1"/>
  <c r="AN313" i="1"/>
  <c r="AI313" i="1"/>
  <c r="AH313" i="1"/>
  <c r="AC313" i="1"/>
  <c r="AB313" i="1"/>
  <c r="O313" i="1"/>
  <c r="AQ313" i="1" s="1"/>
  <c r="N313" i="1"/>
  <c r="AQ312" i="1"/>
  <c r="AO312" i="1"/>
  <c r="AN312" i="1"/>
  <c r="AI312" i="1"/>
  <c r="AH312" i="1"/>
  <c r="AC312" i="1"/>
  <c r="AB312" i="1"/>
  <c r="O312" i="1"/>
  <c r="N312" i="1"/>
  <c r="AO311" i="1"/>
  <c r="AN311" i="1"/>
  <c r="AI311" i="1"/>
  <c r="AH311" i="1"/>
  <c r="AC311" i="1"/>
  <c r="AB311" i="1"/>
  <c r="O311" i="1"/>
  <c r="N311" i="1"/>
  <c r="AP311" i="1" s="1"/>
  <c r="AO310" i="1"/>
  <c r="AN310" i="1"/>
  <c r="AI310" i="1"/>
  <c r="AH310" i="1"/>
  <c r="AC310" i="1"/>
  <c r="AB310" i="1"/>
  <c r="O310" i="1"/>
  <c r="N310" i="1"/>
  <c r="AP310" i="1" s="1"/>
  <c r="AO309" i="1"/>
  <c r="AN309" i="1"/>
  <c r="AI309" i="1"/>
  <c r="AH309" i="1"/>
  <c r="AC309" i="1"/>
  <c r="AB309" i="1"/>
  <c r="O309" i="1"/>
  <c r="N309" i="1"/>
  <c r="AQ308" i="1"/>
  <c r="AO308" i="1"/>
  <c r="AN308" i="1"/>
  <c r="AI308" i="1"/>
  <c r="AH308" i="1"/>
  <c r="AC308" i="1"/>
  <c r="AB308" i="1"/>
  <c r="O308" i="1"/>
  <c r="N308" i="1"/>
  <c r="AP308" i="1" s="1"/>
  <c r="AO307" i="1"/>
  <c r="AN307" i="1"/>
  <c r="AI307" i="1"/>
  <c r="AH307" i="1"/>
  <c r="AC307" i="1"/>
  <c r="AB307" i="1"/>
  <c r="O307" i="1"/>
  <c r="AQ307" i="1" s="1"/>
  <c r="N307" i="1"/>
  <c r="AP307" i="1" s="1"/>
  <c r="AO306" i="1"/>
  <c r="AN306" i="1"/>
  <c r="AI306" i="1"/>
  <c r="AH306" i="1"/>
  <c r="AC306" i="1"/>
  <c r="AB306" i="1"/>
  <c r="O306" i="1"/>
  <c r="N306" i="1"/>
  <c r="AP306" i="1" s="1"/>
  <c r="AO305" i="1"/>
  <c r="AN305" i="1"/>
  <c r="AI305" i="1"/>
  <c r="AH305" i="1"/>
  <c r="AC305" i="1"/>
  <c r="AB305" i="1"/>
  <c r="O305" i="1"/>
  <c r="AQ305" i="1" s="1"/>
  <c r="N305" i="1"/>
  <c r="AP305" i="1" s="1"/>
  <c r="AO304" i="1"/>
  <c r="AN304" i="1"/>
  <c r="AI304" i="1"/>
  <c r="AH304" i="1"/>
  <c r="AC304" i="1"/>
  <c r="AB304" i="1"/>
  <c r="O304" i="1"/>
  <c r="AQ304" i="1" s="1"/>
  <c r="N304" i="1"/>
  <c r="AO303" i="1"/>
  <c r="AN303" i="1"/>
  <c r="AI303" i="1"/>
  <c r="AH303" i="1"/>
  <c r="AC303" i="1"/>
  <c r="AB303" i="1"/>
  <c r="O303" i="1"/>
  <c r="N303" i="1"/>
  <c r="AP303" i="1" s="1"/>
  <c r="AO302" i="1"/>
  <c r="AN302" i="1"/>
  <c r="AI302" i="1"/>
  <c r="AH302" i="1"/>
  <c r="AC302" i="1"/>
  <c r="AB302" i="1"/>
  <c r="O302" i="1"/>
  <c r="AQ302" i="1" s="1"/>
  <c r="N302" i="1"/>
  <c r="AP302" i="1" s="1"/>
  <c r="AO301" i="1"/>
  <c r="AN301" i="1"/>
  <c r="AI301" i="1"/>
  <c r="AH301" i="1"/>
  <c r="AC301" i="1"/>
  <c r="AB301" i="1"/>
  <c r="O301" i="1"/>
  <c r="N301" i="1"/>
  <c r="AP301" i="1" s="1"/>
  <c r="AO300" i="1"/>
  <c r="AN300" i="1"/>
  <c r="AI300" i="1"/>
  <c r="AH300" i="1"/>
  <c r="AC300" i="1"/>
  <c r="AB300" i="1"/>
  <c r="O300" i="1"/>
  <c r="AQ300" i="1" s="1"/>
  <c r="N300" i="1"/>
  <c r="AP300" i="1" s="1"/>
  <c r="AO299" i="1"/>
  <c r="AN299" i="1"/>
  <c r="AI299" i="1"/>
  <c r="AH299" i="1"/>
  <c r="AC299" i="1"/>
  <c r="AB299" i="1"/>
  <c r="O299" i="1"/>
  <c r="AQ299" i="1" s="1"/>
  <c r="N299" i="1"/>
  <c r="AP299" i="1" s="1"/>
  <c r="AO298" i="1"/>
  <c r="AN298" i="1"/>
  <c r="AI298" i="1"/>
  <c r="AH298" i="1"/>
  <c r="AC298" i="1"/>
  <c r="AB298" i="1"/>
  <c r="O298" i="1"/>
  <c r="AQ298" i="1" s="1"/>
  <c r="N298" i="1"/>
  <c r="AO297" i="1"/>
  <c r="AN297" i="1"/>
  <c r="AI297" i="1"/>
  <c r="AH297" i="1"/>
  <c r="AC297" i="1"/>
  <c r="AB297" i="1"/>
  <c r="O297" i="1"/>
  <c r="AQ297" i="1" s="1"/>
  <c r="N297" i="1"/>
  <c r="AQ296" i="1"/>
  <c r="AO296" i="1"/>
  <c r="AN296" i="1"/>
  <c r="AI296" i="1"/>
  <c r="AH296" i="1"/>
  <c r="AC296" i="1"/>
  <c r="AB296" i="1"/>
  <c r="O296" i="1"/>
  <c r="N296" i="1"/>
  <c r="AO295" i="1"/>
  <c r="AN295" i="1"/>
  <c r="AI295" i="1"/>
  <c r="AH295" i="1"/>
  <c r="AC295" i="1"/>
  <c r="AB295" i="1"/>
  <c r="O295" i="1"/>
  <c r="N295" i="1"/>
  <c r="AP295" i="1" s="1"/>
  <c r="AO294" i="1"/>
  <c r="AN294" i="1"/>
  <c r="AI294" i="1"/>
  <c r="AH294" i="1"/>
  <c r="AC294" i="1"/>
  <c r="AB294" i="1"/>
  <c r="O294" i="1"/>
  <c r="N294" i="1"/>
  <c r="AP294" i="1" s="1"/>
  <c r="AO293" i="1"/>
  <c r="AN293" i="1"/>
  <c r="AI293" i="1"/>
  <c r="AH293" i="1"/>
  <c r="AC293" i="1"/>
  <c r="AB293" i="1"/>
  <c r="O293" i="1"/>
  <c r="N293" i="1"/>
  <c r="AQ292" i="1"/>
  <c r="AO292" i="1"/>
  <c r="AN292" i="1"/>
  <c r="AI292" i="1"/>
  <c r="AH292" i="1"/>
  <c r="AC292" i="1"/>
  <c r="AB292" i="1"/>
  <c r="O292" i="1"/>
  <c r="N292" i="1"/>
  <c r="AP292" i="1" s="1"/>
  <c r="AO291" i="1"/>
  <c r="AN291" i="1"/>
  <c r="AI291" i="1"/>
  <c r="AH291" i="1"/>
  <c r="AC291" i="1"/>
  <c r="AB291" i="1"/>
  <c r="O291" i="1"/>
  <c r="AQ291" i="1" s="1"/>
  <c r="N291" i="1"/>
  <c r="AP291" i="1" s="1"/>
  <c r="AO290" i="1"/>
  <c r="AN290" i="1"/>
  <c r="AI290" i="1"/>
  <c r="AH290" i="1"/>
  <c r="AC290" i="1"/>
  <c r="AB290" i="1"/>
  <c r="O290" i="1"/>
  <c r="N290" i="1"/>
  <c r="AP290" i="1" s="1"/>
  <c r="AO289" i="1"/>
  <c r="AN289" i="1"/>
  <c r="AI289" i="1"/>
  <c r="AH289" i="1"/>
  <c r="AC289" i="1"/>
  <c r="AB289" i="1"/>
  <c r="O289" i="1"/>
  <c r="AQ289" i="1" s="1"/>
  <c r="N289" i="1"/>
  <c r="AP289" i="1" s="1"/>
  <c r="AO288" i="1"/>
  <c r="AN288" i="1"/>
  <c r="AI288" i="1"/>
  <c r="AH288" i="1"/>
  <c r="AC288" i="1"/>
  <c r="AB288" i="1"/>
  <c r="O288" i="1"/>
  <c r="AQ288" i="1" s="1"/>
  <c r="N288" i="1"/>
  <c r="AO287" i="1"/>
  <c r="AN287" i="1"/>
  <c r="AI287" i="1"/>
  <c r="AH287" i="1"/>
  <c r="AC287" i="1"/>
  <c r="AB287" i="1"/>
  <c r="O287" i="1"/>
  <c r="N287" i="1"/>
  <c r="AP287" i="1" s="1"/>
  <c r="AO286" i="1"/>
  <c r="AN286" i="1"/>
  <c r="AI286" i="1"/>
  <c r="AH286" i="1"/>
  <c r="AC286" i="1"/>
  <c r="AB286" i="1"/>
  <c r="O286" i="1"/>
  <c r="AQ286" i="1" s="1"/>
  <c r="N286" i="1"/>
  <c r="AP286" i="1" s="1"/>
  <c r="AO285" i="1"/>
  <c r="AN285" i="1"/>
  <c r="AI285" i="1"/>
  <c r="AH285" i="1"/>
  <c r="AC285" i="1"/>
  <c r="AB285" i="1"/>
  <c r="O285" i="1"/>
  <c r="N285" i="1"/>
  <c r="AP285" i="1" s="1"/>
  <c r="AQ284" i="1"/>
  <c r="AO284" i="1"/>
  <c r="AN284" i="1"/>
  <c r="AI284" i="1"/>
  <c r="AH284" i="1"/>
  <c r="AC284" i="1"/>
  <c r="AB284" i="1"/>
  <c r="O284" i="1"/>
  <c r="N284" i="1"/>
  <c r="AP284" i="1" s="1"/>
  <c r="AO283" i="1"/>
  <c r="AN283" i="1"/>
  <c r="AI283" i="1"/>
  <c r="AH283" i="1"/>
  <c r="AC283" i="1"/>
  <c r="AB283" i="1"/>
  <c r="O283" i="1"/>
  <c r="AQ283" i="1" s="1"/>
  <c r="N283" i="1"/>
  <c r="AP283" i="1" s="1"/>
  <c r="AO282" i="1"/>
  <c r="AN282" i="1"/>
  <c r="AI282" i="1"/>
  <c r="AH282" i="1"/>
  <c r="AC282" i="1"/>
  <c r="AB282" i="1"/>
  <c r="O282" i="1"/>
  <c r="AQ282" i="1" s="1"/>
  <c r="N282" i="1"/>
  <c r="AO281" i="1"/>
  <c r="AN281" i="1"/>
  <c r="AI281" i="1"/>
  <c r="AH281" i="1"/>
  <c r="AC281" i="1"/>
  <c r="AB281" i="1"/>
  <c r="O281" i="1"/>
  <c r="AQ281" i="1" s="1"/>
  <c r="N281" i="1"/>
  <c r="AQ280" i="1"/>
  <c r="AO280" i="1"/>
  <c r="AN280" i="1"/>
  <c r="AI280" i="1"/>
  <c r="AH280" i="1"/>
  <c r="AC280" i="1"/>
  <c r="AB280" i="1"/>
  <c r="O280" i="1"/>
  <c r="N280" i="1"/>
  <c r="AO279" i="1"/>
  <c r="AN279" i="1"/>
  <c r="AI279" i="1"/>
  <c r="AH279" i="1"/>
  <c r="AC279" i="1"/>
  <c r="AB279" i="1"/>
  <c r="O279" i="1"/>
  <c r="N279" i="1"/>
  <c r="AP279" i="1" s="1"/>
  <c r="AO278" i="1"/>
  <c r="AN278" i="1"/>
  <c r="AI278" i="1"/>
  <c r="AH278" i="1"/>
  <c r="AC278" i="1"/>
  <c r="AB278" i="1"/>
  <c r="O278" i="1"/>
  <c r="N278" i="1"/>
  <c r="AP278" i="1" s="1"/>
  <c r="AO277" i="1"/>
  <c r="AN277" i="1"/>
  <c r="AI277" i="1"/>
  <c r="AH277" i="1"/>
  <c r="AC277" i="1"/>
  <c r="AB277" i="1"/>
  <c r="O277" i="1"/>
  <c r="N277" i="1"/>
  <c r="AQ276" i="1"/>
  <c r="AO276" i="1"/>
  <c r="AN276" i="1"/>
  <c r="AI276" i="1"/>
  <c r="AH276" i="1"/>
  <c r="AC276" i="1"/>
  <c r="AB276" i="1"/>
  <c r="O276" i="1"/>
  <c r="N276" i="1"/>
  <c r="AP276" i="1" s="1"/>
  <c r="AO275" i="1"/>
  <c r="AN275" i="1"/>
  <c r="AI275" i="1"/>
  <c r="AH275" i="1"/>
  <c r="AC275" i="1"/>
  <c r="AB275" i="1"/>
  <c r="O275" i="1"/>
  <c r="AQ275" i="1" s="1"/>
  <c r="N275" i="1"/>
  <c r="AP275" i="1" s="1"/>
  <c r="AO274" i="1"/>
  <c r="AN274" i="1"/>
  <c r="AI274" i="1"/>
  <c r="AH274" i="1"/>
  <c r="AC274" i="1"/>
  <c r="AB274" i="1"/>
  <c r="O274" i="1"/>
  <c r="N274" i="1"/>
  <c r="AP274" i="1" s="1"/>
  <c r="AO273" i="1"/>
  <c r="AN273" i="1"/>
  <c r="AI273" i="1"/>
  <c r="AH273" i="1"/>
  <c r="AC273" i="1"/>
  <c r="AB273" i="1"/>
  <c r="O273" i="1"/>
  <c r="AQ273" i="1" s="1"/>
  <c r="N273" i="1"/>
  <c r="AP273" i="1" s="1"/>
  <c r="AO272" i="1"/>
  <c r="AN272" i="1"/>
  <c r="AI272" i="1"/>
  <c r="AH272" i="1"/>
  <c r="AC272" i="1"/>
  <c r="AB272" i="1"/>
  <c r="O272" i="1"/>
  <c r="AQ272" i="1" s="1"/>
  <c r="N272" i="1"/>
  <c r="AO271" i="1"/>
  <c r="AN271" i="1"/>
  <c r="AI271" i="1"/>
  <c r="AH271" i="1"/>
  <c r="AC271" i="1"/>
  <c r="AB271" i="1"/>
  <c r="O271" i="1"/>
  <c r="N271" i="1"/>
  <c r="AP271" i="1" s="1"/>
  <c r="AO270" i="1"/>
  <c r="AN270" i="1"/>
  <c r="AI270" i="1"/>
  <c r="AH270" i="1"/>
  <c r="AC270" i="1"/>
  <c r="AB270" i="1"/>
  <c r="O270" i="1"/>
  <c r="AQ270" i="1" s="1"/>
  <c r="N270" i="1"/>
  <c r="AP270" i="1" s="1"/>
  <c r="AO269" i="1"/>
  <c r="AN269" i="1"/>
  <c r="AI269" i="1"/>
  <c r="AH269" i="1"/>
  <c r="AC269" i="1"/>
  <c r="AB269" i="1"/>
  <c r="O269" i="1"/>
  <c r="N269" i="1"/>
  <c r="AP269" i="1" s="1"/>
  <c r="AO268" i="1"/>
  <c r="AN268" i="1"/>
  <c r="AI268" i="1"/>
  <c r="AH268" i="1"/>
  <c r="AC268" i="1"/>
  <c r="AB268" i="1"/>
  <c r="O268" i="1"/>
  <c r="AQ268" i="1" s="1"/>
  <c r="N268" i="1"/>
  <c r="AP268" i="1" s="1"/>
  <c r="AO267" i="1"/>
  <c r="AN267" i="1"/>
  <c r="AI267" i="1"/>
  <c r="AH267" i="1"/>
  <c r="AC267" i="1"/>
  <c r="AB267" i="1"/>
  <c r="O267" i="1"/>
  <c r="AQ267" i="1" s="1"/>
  <c r="N267" i="1"/>
  <c r="AP267" i="1" s="1"/>
  <c r="AO266" i="1"/>
  <c r="AN266" i="1"/>
  <c r="AI266" i="1"/>
  <c r="AH266" i="1"/>
  <c r="AC266" i="1"/>
  <c r="AB266" i="1"/>
  <c r="O266" i="1"/>
  <c r="AQ266" i="1" s="1"/>
  <c r="N266" i="1"/>
  <c r="AO265" i="1"/>
  <c r="AN265" i="1"/>
  <c r="AI265" i="1"/>
  <c r="AH265" i="1"/>
  <c r="AC265" i="1"/>
  <c r="AB265" i="1"/>
  <c r="O265" i="1"/>
  <c r="AQ265" i="1" s="1"/>
  <c r="N265" i="1"/>
  <c r="AQ264" i="1"/>
  <c r="AO264" i="1"/>
  <c r="AN264" i="1"/>
  <c r="AI264" i="1"/>
  <c r="AH264" i="1"/>
  <c r="AC264" i="1"/>
  <c r="AB264" i="1"/>
  <c r="O264" i="1"/>
  <c r="N264" i="1"/>
  <c r="AO263" i="1"/>
  <c r="AN263" i="1"/>
  <c r="AI263" i="1"/>
  <c r="AH263" i="1"/>
  <c r="AC263" i="1"/>
  <c r="AB263" i="1"/>
  <c r="O263" i="1"/>
  <c r="N263" i="1"/>
  <c r="AP263" i="1" s="1"/>
  <c r="AO262" i="1"/>
  <c r="AN262" i="1"/>
  <c r="AI262" i="1"/>
  <c r="AH262" i="1"/>
  <c r="AC262" i="1"/>
  <c r="AB262" i="1"/>
  <c r="O262" i="1"/>
  <c r="N262" i="1"/>
  <c r="AP262" i="1" s="1"/>
  <c r="AO261" i="1"/>
  <c r="AN261" i="1"/>
  <c r="AI261" i="1"/>
  <c r="AH261" i="1"/>
  <c r="AC261" i="1"/>
  <c r="AB261" i="1"/>
  <c r="O261" i="1"/>
  <c r="N261" i="1"/>
  <c r="AQ260" i="1"/>
  <c r="AO260" i="1"/>
  <c r="AN260" i="1"/>
  <c r="AI260" i="1"/>
  <c r="AH260" i="1"/>
  <c r="AC260" i="1"/>
  <c r="AB260" i="1"/>
  <c r="O260" i="1"/>
  <c r="N260" i="1"/>
  <c r="AP260" i="1" s="1"/>
  <c r="AO259" i="1"/>
  <c r="AN259" i="1"/>
  <c r="AI259" i="1"/>
  <c r="AH259" i="1"/>
  <c r="AC259" i="1"/>
  <c r="AB259" i="1"/>
  <c r="O259" i="1"/>
  <c r="AQ259" i="1" s="1"/>
  <c r="N259" i="1"/>
  <c r="AP259" i="1" s="1"/>
  <c r="AO258" i="1"/>
  <c r="AN258" i="1"/>
  <c r="AI258" i="1"/>
  <c r="AH258" i="1"/>
  <c r="AC258" i="1"/>
  <c r="AB258" i="1"/>
  <c r="O258" i="1"/>
  <c r="N258" i="1"/>
  <c r="AP258" i="1" s="1"/>
  <c r="AO257" i="1"/>
  <c r="AN257" i="1"/>
  <c r="AI257" i="1"/>
  <c r="AH257" i="1"/>
  <c r="AC257" i="1"/>
  <c r="AB257" i="1"/>
  <c r="O257" i="1"/>
  <c r="AQ257" i="1" s="1"/>
  <c r="N257" i="1"/>
  <c r="AP257" i="1" s="1"/>
  <c r="AO256" i="1"/>
  <c r="AN256" i="1"/>
  <c r="AI256" i="1"/>
  <c r="AH256" i="1"/>
  <c r="AC256" i="1"/>
  <c r="AB256" i="1"/>
  <c r="O256" i="1"/>
  <c r="AQ256" i="1" s="1"/>
  <c r="N256" i="1"/>
  <c r="AO255" i="1"/>
  <c r="AN255" i="1"/>
  <c r="AI255" i="1"/>
  <c r="AH255" i="1"/>
  <c r="AC255" i="1"/>
  <c r="AB255" i="1"/>
  <c r="O255" i="1"/>
  <c r="N255" i="1"/>
  <c r="AP255" i="1" s="1"/>
  <c r="AO254" i="1"/>
  <c r="AN254" i="1"/>
  <c r="AI254" i="1"/>
  <c r="AH254" i="1"/>
  <c r="AC254" i="1"/>
  <c r="AB254" i="1"/>
  <c r="O254" i="1"/>
  <c r="AQ254" i="1" s="1"/>
  <c r="N254" i="1"/>
  <c r="AP254" i="1" s="1"/>
  <c r="AO253" i="1"/>
  <c r="AN253" i="1"/>
  <c r="AI253" i="1"/>
  <c r="AH253" i="1"/>
  <c r="AC253" i="1"/>
  <c r="AB253" i="1"/>
  <c r="O253" i="1"/>
  <c r="N253" i="1"/>
  <c r="AP253" i="1" s="1"/>
  <c r="AQ252" i="1"/>
  <c r="AO252" i="1"/>
  <c r="AN252" i="1"/>
  <c r="AI252" i="1"/>
  <c r="AH252" i="1"/>
  <c r="AC252" i="1"/>
  <c r="AB252" i="1"/>
  <c r="O252" i="1"/>
  <c r="N252" i="1"/>
  <c r="AP252" i="1" s="1"/>
  <c r="AO251" i="1"/>
  <c r="AN251" i="1"/>
  <c r="AI251" i="1"/>
  <c r="AH251" i="1"/>
  <c r="AC251" i="1"/>
  <c r="AB251" i="1"/>
  <c r="O251" i="1"/>
  <c r="AQ251" i="1" s="1"/>
  <c r="N251" i="1"/>
  <c r="AP251" i="1" s="1"/>
  <c r="AO250" i="1"/>
  <c r="AN250" i="1"/>
  <c r="AI250" i="1"/>
  <c r="AH250" i="1"/>
  <c r="AC250" i="1"/>
  <c r="AB250" i="1"/>
  <c r="O250" i="1"/>
  <c r="AQ250" i="1" s="1"/>
  <c r="N250" i="1"/>
  <c r="AO249" i="1"/>
  <c r="AN249" i="1"/>
  <c r="AI249" i="1"/>
  <c r="AH249" i="1"/>
  <c r="AC249" i="1"/>
  <c r="AB249" i="1"/>
  <c r="O249" i="1"/>
  <c r="AQ249" i="1" s="1"/>
  <c r="N249" i="1"/>
  <c r="AQ248" i="1"/>
  <c r="AO248" i="1"/>
  <c r="AN248" i="1"/>
  <c r="AI248" i="1"/>
  <c r="AH248" i="1"/>
  <c r="AC248" i="1"/>
  <c r="AB248" i="1"/>
  <c r="O248" i="1"/>
  <c r="N248" i="1"/>
  <c r="AO247" i="1"/>
  <c r="AN247" i="1"/>
  <c r="AI247" i="1"/>
  <c r="AH247" i="1"/>
  <c r="AC247" i="1"/>
  <c r="AB247" i="1"/>
  <c r="O247" i="1"/>
  <c r="N247" i="1"/>
  <c r="AP247" i="1" s="1"/>
  <c r="AO246" i="1"/>
  <c r="AN246" i="1"/>
  <c r="AI246" i="1"/>
  <c r="AH246" i="1"/>
  <c r="AC246" i="1"/>
  <c r="AB246" i="1"/>
  <c r="O246" i="1"/>
  <c r="N246" i="1"/>
  <c r="AP246" i="1" s="1"/>
  <c r="AO245" i="1"/>
  <c r="AN245" i="1"/>
  <c r="AI245" i="1"/>
  <c r="AH245" i="1"/>
  <c r="AC245" i="1"/>
  <c r="AB245" i="1"/>
  <c r="O245" i="1"/>
  <c r="N245" i="1"/>
  <c r="AQ244" i="1"/>
  <c r="AO244" i="1"/>
  <c r="AN244" i="1"/>
  <c r="AI244" i="1"/>
  <c r="AH244" i="1"/>
  <c r="AC244" i="1"/>
  <c r="AB244" i="1"/>
  <c r="O244" i="1"/>
  <c r="N244" i="1"/>
  <c r="AP244" i="1" s="1"/>
  <c r="AO243" i="1"/>
  <c r="AN243" i="1"/>
  <c r="AI243" i="1"/>
  <c r="AH243" i="1"/>
  <c r="AC243" i="1"/>
  <c r="AB243" i="1"/>
  <c r="O243" i="1"/>
  <c r="AQ243" i="1" s="1"/>
  <c r="N243" i="1"/>
  <c r="AP243" i="1" s="1"/>
  <c r="AO242" i="1"/>
  <c r="AN242" i="1"/>
  <c r="AI242" i="1"/>
  <c r="AH242" i="1"/>
  <c r="AC242" i="1"/>
  <c r="AB242" i="1"/>
  <c r="O242" i="1"/>
  <c r="N242" i="1"/>
  <c r="AP242" i="1" s="1"/>
  <c r="AO241" i="1"/>
  <c r="AN241" i="1"/>
  <c r="AI241" i="1"/>
  <c r="AH241" i="1"/>
  <c r="AC241" i="1"/>
  <c r="AB241" i="1"/>
  <c r="O241" i="1"/>
  <c r="AQ241" i="1" s="1"/>
  <c r="N241" i="1"/>
  <c r="AP241" i="1" s="1"/>
  <c r="AO240" i="1"/>
  <c r="AN240" i="1"/>
  <c r="AI240" i="1"/>
  <c r="AH240" i="1"/>
  <c r="AC240" i="1"/>
  <c r="AB240" i="1"/>
  <c r="O240" i="1"/>
  <c r="AQ240" i="1" s="1"/>
  <c r="N240" i="1"/>
  <c r="AO239" i="1"/>
  <c r="AN239" i="1"/>
  <c r="AI239" i="1"/>
  <c r="AH239" i="1"/>
  <c r="AC239" i="1"/>
  <c r="AB239" i="1"/>
  <c r="O239" i="1"/>
  <c r="N239" i="1"/>
  <c r="AP239" i="1" s="1"/>
  <c r="AO238" i="1"/>
  <c r="AN238" i="1"/>
  <c r="AI238" i="1"/>
  <c r="AH238" i="1"/>
  <c r="AC238" i="1"/>
  <c r="AB238" i="1"/>
  <c r="O238" i="1"/>
  <c r="AQ238" i="1" s="1"/>
  <c r="N238" i="1"/>
  <c r="AP238" i="1" s="1"/>
  <c r="AO237" i="1"/>
  <c r="AN237" i="1"/>
  <c r="AI237" i="1"/>
  <c r="AH237" i="1"/>
  <c r="AC237" i="1"/>
  <c r="AB237" i="1"/>
  <c r="O237" i="1"/>
  <c r="N237" i="1"/>
  <c r="AP237" i="1" s="1"/>
  <c r="AO236" i="1"/>
  <c r="AN236" i="1"/>
  <c r="AI236" i="1"/>
  <c r="AH236" i="1"/>
  <c r="AC236" i="1"/>
  <c r="AB236" i="1"/>
  <c r="O236" i="1"/>
  <c r="AQ236" i="1" s="1"/>
  <c r="N236" i="1"/>
  <c r="AP236" i="1" s="1"/>
  <c r="AO235" i="1"/>
  <c r="AN235" i="1"/>
  <c r="AI235" i="1"/>
  <c r="AH235" i="1"/>
  <c r="AC235" i="1"/>
  <c r="AB235" i="1"/>
  <c r="O235" i="1"/>
  <c r="AQ235" i="1" s="1"/>
  <c r="N235" i="1"/>
  <c r="AP235" i="1" s="1"/>
  <c r="AO234" i="1"/>
  <c r="AN234" i="1"/>
  <c r="AI234" i="1"/>
  <c r="AH234" i="1"/>
  <c r="AC234" i="1"/>
  <c r="AB234" i="1"/>
  <c r="O234" i="1"/>
  <c r="AQ234" i="1" s="1"/>
  <c r="N234" i="1"/>
  <c r="AO233" i="1"/>
  <c r="AN233" i="1"/>
  <c r="AI233" i="1"/>
  <c r="AH233" i="1"/>
  <c r="AC233" i="1"/>
  <c r="AB233" i="1"/>
  <c r="O233" i="1"/>
  <c r="AQ233" i="1" s="1"/>
  <c r="N233" i="1"/>
  <c r="AQ232" i="1"/>
  <c r="AO232" i="1"/>
  <c r="AN232" i="1"/>
  <c r="AI232" i="1"/>
  <c r="AH232" i="1"/>
  <c r="AC232" i="1"/>
  <c r="AB232" i="1"/>
  <c r="O232" i="1"/>
  <c r="N232" i="1"/>
  <c r="AO231" i="1"/>
  <c r="AN231" i="1"/>
  <c r="AI231" i="1"/>
  <c r="AH231" i="1"/>
  <c r="AC231" i="1"/>
  <c r="AB231" i="1"/>
  <c r="O231" i="1"/>
  <c r="N231" i="1"/>
  <c r="AP231" i="1" s="1"/>
  <c r="AO230" i="1"/>
  <c r="AN230" i="1"/>
  <c r="AI230" i="1"/>
  <c r="AH230" i="1"/>
  <c r="AC230" i="1"/>
  <c r="AB230" i="1"/>
  <c r="O230" i="1"/>
  <c r="N230" i="1"/>
  <c r="AP230" i="1" s="1"/>
  <c r="AO229" i="1"/>
  <c r="AN229" i="1"/>
  <c r="AI229" i="1"/>
  <c r="AH229" i="1"/>
  <c r="AC229" i="1"/>
  <c r="AB229" i="1"/>
  <c r="O229" i="1"/>
  <c r="N229" i="1"/>
  <c r="AQ228" i="1"/>
  <c r="AO228" i="1"/>
  <c r="AN228" i="1"/>
  <c r="AI228" i="1"/>
  <c r="AH228" i="1"/>
  <c r="AC228" i="1"/>
  <c r="AB228" i="1"/>
  <c r="O228" i="1"/>
  <c r="N228" i="1"/>
  <c r="AP228" i="1" s="1"/>
  <c r="AO227" i="1"/>
  <c r="AN227" i="1"/>
  <c r="AI227" i="1"/>
  <c r="AH227" i="1"/>
  <c r="AC227" i="1"/>
  <c r="AB227" i="1"/>
  <c r="O227" i="1"/>
  <c r="AQ227" i="1" s="1"/>
  <c r="N227" i="1"/>
  <c r="AP227" i="1" s="1"/>
  <c r="AO226" i="1"/>
  <c r="AN226" i="1"/>
  <c r="AI226" i="1"/>
  <c r="AH226" i="1"/>
  <c r="AC226" i="1"/>
  <c r="AB226" i="1"/>
  <c r="O226" i="1"/>
  <c r="N226" i="1"/>
  <c r="AP226" i="1" s="1"/>
  <c r="AO225" i="1"/>
  <c r="AN225" i="1"/>
  <c r="AI225" i="1"/>
  <c r="AH225" i="1"/>
  <c r="AC225" i="1"/>
  <c r="AB225" i="1"/>
  <c r="O225" i="1"/>
  <c r="AQ225" i="1" s="1"/>
  <c r="N225" i="1"/>
  <c r="AP225" i="1" s="1"/>
  <c r="AO224" i="1"/>
  <c r="AN224" i="1"/>
  <c r="AI224" i="1"/>
  <c r="AH224" i="1"/>
  <c r="AC224" i="1"/>
  <c r="AB224" i="1"/>
  <c r="O224" i="1"/>
  <c r="AQ224" i="1" s="1"/>
  <c r="N224" i="1"/>
  <c r="AO223" i="1"/>
  <c r="AN223" i="1"/>
  <c r="AI223" i="1"/>
  <c r="AH223" i="1"/>
  <c r="AC223" i="1"/>
  <c r="AB223" i="1"/>
  <c r="O223" i="1"/>
  <c r="N223" i="1"/>
  <c r="AP223" i="1" s="1"/>
  <c r="AO222" i="1"/>
  <c r="AN222" i="1"/>
  <c r="AI222" i="1"/>
  <c r="AH222" i="1"/>
  <c r="AC222" i="1"/>
  <c r="AB222" i="1"/>
  <c r="O222" i="1"/>
  <c r="AQ222" i="1" s="1"/>
  <c r="N222" i="1"/>
  <c r="AP222" i="1" s="1"/>
  <c r="AO221" i="1"/>
  <c r="AN221" i="1"/>
  <c r="AI221" i="1"/>
  <c r="AH221" i="1"/>
  <c r="AC221" i="1"/>
  <c r="AB221" i="1"/>
  <c r="O221" i="1"/>
  <c r="N221" i="1"/>
  <c r="AP221" i="1" s="1"/>
  <c r="AQ220" i="1"/>
  <c r="AO220" i="1"/>
  <c r="AN220" i="1"/>
  <c r="AI220" i="1"/>
  <c r="AH220" i="1"/>
  <c r="AC220" i="1"/>
  <c r="AB220" i="1"/>
  <c r="O220" i="1"/>
  <c r="N220" i="1"/>
  <c r="AP220" i="1" s="1"/>
  <c r="AO219" i="1"/>
  <c r="AN219" i="1"/>
  <c r="AI219" i="1"/>
  <c r="AH219" i="1"/>
  <c r="AC219" i="1"/>
  <c r="AB219" i="1"/>
  <c r="O219" i="1"/>
  <c r="AQ219" i="1" s="1"/>
  <c r="N219" i="1"/>
  <c r="AP219" i="1" s="1"/>
  <c r="AO218" i="1"/>
  <c r="AN218" i="1"/>
  <c r="AI218" i="1"/>
  <c r="AH218" i="1"/>
  <c r="AC218" i="1"/>
  <c r="AB218" i="1"/>
  <c r="O218" i="1"/>
  <c r="AQ218" i="1" s="1"/>
  <c r="N218" i="1"/>
  <c r="AO217" i="1"/>
  <c r="AN217" i="1"/>
  <c r="AI217" i="1"/>
  <c r="AH217" i="1"/>
  <c r="AC217" i="1"/>
  <c r="AB217" i="1"/>
  <c r="O217" i="1"/>
  <c r="AQ217" i="1" s="1"/>
  <c r="N217" i="1"/>
  <c r="AQ216" i="1"/>
  <c r="AO216" i="1"/>
  <c r="AN216" i="1"/>
  <c r="AI216" i="1"/>
  <c r="AH216" i="1"/>
  <c r="AC216" i="1"/>
  <c r="AB216" i="1"/>
  <c r="O216" i="1"/>
  <c r="N216" i="1"/>
  <c r="AO215" i="1"/>
  <c r="AN215" i="1"/>
  <c r="AI215" i="1"/>
  <c r="AH215" i="1"/>
  <c r="AC215" i="1"/>
  <c r="AB215" i="1"/>
  <c r="O215" i="1"/>
  <c r="N215" i="1"/>
  <c r="AP215" i="1" s="1"/>
  <c r="AO214" i="1"/>
  <c r="AN214" i="1"/>
  <c r="AI214" i="1"/>
  <c r="AH214" i="1"/>
  <c r="AC214" i="1"/>
  <c r="AB214" i="1"/>
  <c r="O214" i="1"/>
  <c r="N214" i="1"/>
  <c r="AP214" i="1" s="1"/>
  <c r="AO213" i="1"/>
  <c r="AN213" i="1"/>
  <c r="AI213" i="1"/>
  <c r="AH213" i="1"/>
  <c r="AC213" i="1"/>
  <c r="AB213" i="1"/>
  <c r="O213" i="1"/>
  <c r="N213" i="1"/>
  <c r="AO212" i="1"/>
  <c r="AN212" i="1"/>
  <c r="AI212" i="1"/>
  <c r="AH212" i="1"/>
  <c r="AC212" i="1"/>
  <c r="AB212" i="1"/>
  <c r="O212" i="1"/>
  <c r="AQ212" i="1" s="1"/>
  <c r="N212" i="1"/>
  <c r="AP212" i="1" s="1"/>
  <c r="AO211" i="1"/>
  <c r="AN211" i="1"/>
  <c r="AI211" i="1"/>
  <c r="AH211" i="1"/>
  <c r="AC211" i="1"/>
  <c r="AB211" i="1"/>
  <c r="O211" i="1"/>
  <c r="AQ211" i="1" s="1"/>
  <c r="N211" i="1"/>
  <c r="AP211" i="1" s="1"/>
  <c r="AO210" i="1"/>
  <c r="AN210" i="1"/>
  <c r="AI210" i="1"/>
  <c r="AH210" i="1"/>
  <c r="AC210" i="1"/>
  <c r="AB210" i="1"/>
  <c r="O210" i="1"/>
  <c r="N210" i="1"/>
  <c r="AO209" i="1"/>
  <c r="AN209" i="1"/>
  <c r="AI209" i="1"/>
  <c r="AH209" i="1"/>
  <c r="AC209" i="1"/>
  <c r="AB209" i="1"/>
  <c r="O209" i="1"/>
  <c r="AQ209" i="1" s="1"/>
  <c r="N209" i="1"/>
  <c r="AP209" i="1" s="1"/>
  <c r="AO208" i="1"/>
  <c r="AN208" i="1"/>
  <c r="AI208" i="1"/>
  <c r="AH208" i="1"/>
  <c r="AC208" i="1"/>
  <c r="AB208" i="1"/>
  <c r="O208" i="1"/>
  <c r="AQ208" i="1" s="1"/>
  <c r="N208" i="1"/>
  <c r="AO207" i="1"/>
  <c r="AN207" i="1"/>
  <c r="AI207" i="1"/>
  <c r="AH207" i="1"/>
  <c r="AC207" i="1"/>
  <c r="AB207" i="1"/>
  <c r="O207" i="1"/>
  <c r="N207" i="1"/>
  <c r="AP207" i="1" s="1"/>
  <c r="AO206" i="1"/>
  <c r="AN206" i="1"/>
  <c r="AI206" i="1"/>
  <c r="AH206" i="1"/>
  <c r="AC206" i="1"/>
  <c r="AB206" i="1"/>
  <c r="O206" i="1"/>
  <c r="AQ206" i="1" s="1"/>
  <c r="N206" i="1"/>
  <c r="AP206" i="1" s="1"/>
  <c r="AO205" i="1"/>
  <c r="AN205" i="1"/>
  <c r="AI205" i="1"/>
  <c r="AH205" i="1"/>
  <c r="AC205" i="1"/>
  <c r="AB205" i="1"/>
  <c r="O205" i="1"/>
  <c r="N205" i="1"/>
  <c r="AP205" i="1" s="1"/>
  <c r="AQ204" i="1"/>
  <c r="AO204" i="1"/>
  <c r="AN204" i="1"/>
  <c r="AI204" i="1"/>
  <c r="AH204" i="1"/>
  <c r="AC204" i="1"/>
  <c r="AB204" i="1"/>
  <c r="O204" i="1"/>
  <c r="N204" i="1"/>
  <c r="AP204" i="1" s="1"/>
  <c r="AO203" i="1"/>
  <c r="AN203" i="1"/>
  <c r="AI203" i="1"/>
  <c r="AH203" i="1"/>
  <c r="AC203" i="1"/>
  <c r="AB203" i="1"/>
  <c r="O203" i="1"/>
  <c r="AQ203" i="1" s="1"/>
  <c r="N203" i="1"/>
  <c r="AP203" i="1" s="1"/>
  <c r="AO202" i="1"/>
  <c r="AN202" i="1"/>
  <c r="AI202" i="1"/>
  <c r="AH202" i="1"/>
  <c r="AC202" i="1"/>
  <c r="AB202" i="1"/>
  <c r="O202" i="1"/>
  <c r="AQ202" i="1" s="1"/>
  <c r="N202" i="1"/>
  <c r="AO201" i="1"/>
  <c r="AN201" i="1"/>
  <c r="AI201" i="1"/>
  <c r="AH201" i="1"/>
  <c r="AC201" i="1"/>
  <c r="AB201" i="1"/>
  <c r="O201" i="1"/>
  <c r="AQ201" i="1" s="1"/>
  <c r="N201" i="1"/>
  <c r="AQ200" i="1"/>
  <c r="AO200" i="1"/>
  <c r="AN200" i="1"/>
  <c r="AI200" i="1"/>
  <c r="AH200" i="1"/>
  <c r="AC200" i="1"/>
  <c r="AB200" i="1"/>
  <c r="O200" i="1"/>
  <c r="N200" i="1"/>
  <c r="AP199" i="1"/>
  <c r="AO199" i="1"/>
  <c r="AN199" i="1"/>
  <c r="AI199" i="1"/>
  <c r="AH199" i="1"/>
  <c r="AC199" i="1"/>
  <c r="AB199" i="1"/>
  <c r="O199" i="1"/>
  <c r="N199" i="1"/>
  <c r="AO198" i="1"/>
  <c r="AN198" i="1"/>
  <c r="AI198" i="1"/>
  <c r="AH198" i="1"/>
  <c r="AC198" i="1"/>
  <c r="AB198" i="1"/>
  <c r="O198" i="1"/>
  <c r="N198" i="1"/>
  <c r="AP198" i="1" s="1"/>
  <c r="AO197" i="1"/>
  <c r="AN197" i="1"/>
  <c r="AI197" i="1"/>
  <c r="AH197" i="1"/>
  <c r="AC197" i="1"/>
  <c r="AB197" i="1"/>
  <c r="O197" i="1"/>
  <c r="N197" i="1"/>
  <c r="AO196" i="1"/>
  <c r="AN196" i="1"/>
  <c r="AI196" i="1"/>
  <c r="AH196" i="1"/>
  <c r="AC196" i="1"/>
  <c r="AB196" i="1"/>
  <c r="O196" i="1"/>
  <c r="N196" i="1"/>
  <c r="AP196" i="1" s="1"/>
  <c r="AO195" i="1"/>
  <c r="AN195" i="1"/>
  <c r="AI195" i="1"/>
  <c r="AH195" i="1"/>
  <c r="AC195" i="1"/>
  <c r="AB195" i="1"/>
  <c r="O195" i="1"/>
  <c r="AQ195" i="1" s="1"/>
  <c r="N195" i="1"/>
  <c r="AP195" i="1" s="1"/>
  <c r="AO194" i="1"/>
  <c r="AN194" i="1"/>
  <c r="AI194" i="1"/>
  <c r="AH194" i="1"/>
  <c r="AC194" i="1"/>
  <c r="AB194" i="1"/>
  <c r="O194" i="1"/>
  <c r="AQ194" i="1" s="1"/>
  <c r="N194" i="1"/>
  <c r="AO193" i="1"/>
  <c r="AN193" i="1"/>
  <c r="AI193" i="1"/>
  <c r="AH193" i="1"/>
  <c r="AC193" i="1"/>
  <c r="AB193" i="1"/>
  <c r="O193" i="1"/>
  <c r="N193" i="1"/>
  <c r="AP193" i="1" s="1"/>
  <c r="AQ192" i="1"/>
  <c r="AO192" i="1"/>
  <c r="AN192" i="1"/>
  <c r="AI192" i="1"/>
  <c r="AH192" i="1"/>
  <c r="AC192" i="1"/>
  <c r="AB192" i="1"/>
  <c r="O192" i="1"/>
  <c r="N192" i="1"/>
  <c r="AP192" i="1" s="1"/>
  <c r="AO191" i="1"/>
  <c r="AN191" i="1"/>
  <c r="AI191" i="1"/>
  <c r="AH191" i="1"/>
  <c r="AC191" i="1"/>
  <c r="AB191" i="1"/>
  <c r="O191" i="1"/>
  <c r="AQ191" i="1" s="1"/>
  <c r="N191" i="1"/>
  <c r="AP191" i="1" s="1"/>
  <c r="AO190" i="1"/>
  <c r="AN190" i="1"/>
  <c r="AI190" i="1"/>
  <c r="AH190" i="1"/>
  <c r="AC190" i="1"/>
  <c r="AB190" i="1"/>
  <c r="O190" i="1"/>
  <c r="AQ190" i="1" s="1"/>
  <c r="N190" i="1"/>
  <c r="AO189" i="1"/>
  <c r="AN189" i="1"/>
  <c r="AI189" i="1"/>
  <c r="AH189" i="1"/>
  <c r="AC189" i="1"/>
  <c r="AB189" i="1"/>
  <c r="O189" i="1"/>
  <c r="AQ189" i="1" s="1"/>
  <c r="N189" i="1"/>
  <c r="AO188" i="1"/>
  <c r="AN188" i="1"/>
  <c r="AI188" i="1"/>
  <c r="AQ188" i="1" s="1"/>
  <c r="AH188" i="1"/>
  <c r="AC188" i="1"/>
  <c r="AB188" i="1"/>
  <c r="O188" i="1"/>
  <c r="N188" i="1"/>
  <c r="AO187" i="1"/>
  <c r="AN187" i="1"/>
  <c r="AI187" i="1"/>
  <c r="AH187" i="1"/>
  <c r="AC187" i="1"/>
  <c r="AB187" i="1"/>
  <c r="O187" i="1"/>
  <c r="N187" i="1"/>
  <c r="AP187" i="1" s="1"/>
  <c r="AO186" i="1"/>
  <c r="AN186" i="1"/>
  <c r="AI186" i="1"/>
  <c r="AH186" i="1"/>
  <c r="AC186" i="1"/>
  <c r="AB186" i="1"/>
  <c r="O186" i="1"/>
  <c r="AQ186" i="1" s="1"/>
  <c r="N186" i="1"/>
  <c r="AP186" i="1" s="1"/>
  <c r="AO185" i="1"/>
  <c r="AN185" i="1"/>
  <c r="AI185" i="1"/>
  <c r="AH185" i="1"/>
  <c r="AC185" i="1"/>
  <c r="AB185" i="1"/>
  <c r="O185" i="1"/>
  <c r="AQ185" i="1" s="1"/>
  <c r="N185" i="1"/>
  <c r="AO184" i="1"/>
  <c r="AN184" i="1"/>
  <c r="AI184" i="1"/>
  <c r="AH184" i="1"/>
  <c r="AC184" i="1"/>
  <c r="AB184" i="1"/>
  <c r="O184" i="1"/>
  <c r="AQ184" i="1" s="1"/>
  <c r="N184" i="1"/>
  <c r="AO183" i="1"/>
  <c r="AN183" i="1"/>
  <c r="AI183" i="1"/>
  <c r="AH183" i="1"/>
  <c r="AC183" i="1"/>
  <c r="AB183" i="1"/>
  <c r="O183" i="1"/>
  <c r="N183" i="1"/>
  <c r="AP183" i="1" s="1"/>
  <c r="AQ182" i="1"/>
  <c r="AO182" i="1"/>
  <c r="AN182" i="1"/>
  <c r="AI182" i="1"/>
  <c r="AH182" i="1"/>
  <c r="AC182" i="1"/>
  <c r="AB182" i="1"/>
  <c r="O182" i="1"/>
  <c r="N182" i="1"/>
  <c r="AP182" i="1" s="1"/>
  <c r="AO181" i="1"/>
  <c r="AN181" i="1"/>
  <c r="AI181" i="1"/>
  <c r="AH181" i="1"/>
  <c r="AC181" i="1"/>
  <c r="AB181" i="1"/>
  <c r="O181" i="1"/>
  <c r="N181" i="1"/>
  <c r="AP181" i="1" s="1"/>
  <c r="AO180" i="1"/>
  <c r="AN180" i="1"/>
  <c r="AI180" i="1"/>
  <c r="AH180" i="1"/>
  <c r="AC180" i="1"/>
  <c r="AB180" i="1"/>
  <c r="O180" i="1"/>
  <c r="AQ180" i="1" s="1"/>
  <c r="N180" i="1"/>
  <c r="AP180" i="1" s="1"/>
  <c r="AO179" i="1"/>
  <c r="AN179" i="1"/>
  <c r="AI179" i="1"/>
  <c r="AH179" i="1"/>
  <c r="AC179" i="1"/>
  <c r="AB179" i="1"/>
  <c r="O179" i="1"/>
  <c r="AQ179" i="1" s="1"/>
  <c r="N179" i="1"/>
  <c r="AP179" i="1" s="1"/>
  <c r="AO178" i="1"/>
  <c r="AN178" i="1"/>
  <c r="AI178" i="1"/>
  <c r="AQ178" i="1" s="1"/>
  <c r="AH178" i="1"/>
  <c r="AC178" i="1"/>
  <c r="AB178" i="1"/>
  <c r="O178" i="1"/>
  <c r="N178" i="1"/>
  <c r="AO177" i="1"/>
  <c r="AN177" i="1"/>
  <c r="AI177" i="1"/>
  <c r="AH177" i="1"/>
  <c r="AC177" i="1"/>
  <c r="AB177" i="1"/>
  <c r="O177" i="1"/>
  <c r="N177" i="1"/>
  <c r="AP177" i="1" s="1"/>
  <c r="AQ176" i="1"/>
  <c r="AO176" i="1"/>
  <c r="AN176" i="1"/>
  <c r="AI176" i="1"/>
  <c r="AH176" i="1"/>
  <c r="AC176" i="1"/>
  <c r="AB176" i="1"/>
  <c r="O176" i="1"/>
  <c r="N176" i="1"/>
  <c r="AP176" i="1" s="1"/>
  <c r="AO175" i="1"/>
  <c r="AN175" i="1"/>
  <c r="AI175" i="1"/>
  <c r="AH175" i="1"/>
  <c r="AC175" i="1"/>
  <c r="AB175" i="1"/>
  <c r="O175" i="1"/>
  <c r="AQ175" i="1" s="1"/>
  <c r="N175" i="1"/>
  <c r="AO174" i="1"/>
  <c r="AN174" i="1"/>
  <c r="AI174" i="1"/>
  <c r="AH174" i="1"/>
  <c r="AC174" i="1"/>
  <c r="AB174" i="1"/>
  <c r="O174" i="1"/>
  <c r="N174" i="1"/>
  <c r="AO173" i="1"/>
  <c r="AN173" i="1"/>
  <c r="AI173" i="1"/>
  <c r="AH173" i="1"/>
  <c r="AC173" i="1"/>
  <c r="AB173" i="1"/>
  <c r="O173" i="1"/>
  <c r="N173" i="1"/>
  <c r="AP173" i="1" s="1"/>
  <c r="AQ172" i="1"/>
  <c r="AO172" i="1"/>
  <c r="AN172" i="1"/>
  <c r="AI172" i="1"/>
  <c r="AH172" i="1"/>
  <c r="AC172" i="1"/>
  <c r="AB172" i="1"/>
  <c r="O172" i="1"/>
  <c r="N172" i="1"/>
  <c r="AP172" i="1" s="1"/>
  <c r="AO171" i="1"/>
  <c r="AN171" i="1"/>
  <c r="AI171" i="1"/>
  <c r="AH171" i="1"/>
  <c r="AC171" i="1"/>
  <c r="AB171" i="1"/>
  <c r="O171" i="1"/>
  <c r="AQ171" i="1" s="1"/>
  <c r="N171" i="1"/>
  <c r="AP171" i="1" s="1"/>
  <c r="AO170" i="1"/>
  <c r="AN170" i="1"/>
  <c r="AI170" i="1"/>
  <c r="AH170" i="1"/>
  <c r="AC170" i="1"/>
  <c r="AB170" i="1"/>
  <c r="O170" i="1"/>
  <c r="AQ170" i="1" s="1"/>
  <c r="N170" i="1"/>
  <c r="AO169" i="1"/>
  <c r="AN169" i="1"/>
  <c r="AI169" i="1"/>
  <c r="AH169" i="1"/>
  <c r="AC169" i="1"/>
  <c r="AB169" i="1"/>
  <c r="O169" i="1"/>
  <c r="AQ169" i="1" s="1"/>
  <c r="N169" i="1"/>
  <c r="AO168" i="1"/>
  <c r="AN168" i="1"/>
  <c r="AI168" i="1"/>
  <c r="AH168" i="1"/>
  <c r="AC168" i="1"/>
  <c r="AB168" i="1"/>
  <c r="O168" i="1"/>
  <c r="AQ168" i="1" s="1"/>
  <c r="N168" i="1"/>
  <c r="AP168" i="1" s="1"/>
  <c r="AO167" i="1"/>
  <c r="AN167" i="1"/>
  <c r="AI167" i="1"/>
  <c r="AH167" i="1"/>
  <c r="AC167" i="1"/>
  <c r="AB167" i="1"/>
  <c r="O167" i="1"/>
  <c r="N167" i="1"/>
  <c r="AP167" i="1" s="1"/>
  <c r="AO166" i="1"/>
  <c r="AN166" i="1"/>
  <c r="AI166" i="1"/>
  <c r="AH166" i="1"/>
  <c r="AC166" i="1"/>
  <c r="AB166" i="1"/>
  <c r="O166" i="1"/>
  <c r="N166" i="1"/>
  <c r="AO165" i="1"/>
  <c r="AN165" i="1"/>
  <c r="AI165" i="1"/>
  <c r="AH165" i="1"/>
  <c r="AC165" i="1"/>
  <c r="AB165" i="1"/>
  <c r="O165" i="1"/>
  <c r="AQ165" i="1" s="1"/>
  <c r="N165" i="1"/>
  <c r="AP165" i="1" s="1"/>
  <c r="AO164" i="1"/>
  <c r="AN164" i="1"/>
  <c r="AI164" i="1"/>
  <c r="AH164" i="1"/>
  <c r="AC164" i="1"/>
  <c r="AB164" i="1"/>
  <c r="O164" i="1"/>
  <c r="AQ164" i="1" s="1"/>
  <c r="N164" i="1"/>
  <c r="AO163" i="1"/>
  <c r="AN163" i="1"/>
  <c r="AI163" i="1"/>
  <c r="AH163" i="1"/>
  <c r="AC163" i="1"/>
  <c r="AB163" i="1"/>
  <c r="O163" i="1"/>
  <c r="N163" i="1"/>
  <c r="AP163" i="1" s="1"/>
  <c r="AQ162" i="1"/>
  <c r="AO162" i="1"/>
  <c r="AN162" i="1"/>
  <c r="AI162" i="1"/>
  <c r="AH162" i="1"/>
  <c r="AC162" i="1"/>
  <c r="AB162" i="1"/>
  <c r="O162" i="1"/>
  <c r="N162" i="1"/>
  <c r="AP162" i="1" s="1"/>
  <c r="AO161" i="1"/>
  <c r="AN161" i="1"/>
  <c r="AI161" i="1"/>
  <c r="AH161" i="1"/>
  <c r="AC161" i="1"/>
  <c r="AB161" i="1"/>
  <c r="O161" i="1"/>
  <c r="AQ161" i="1" s="1"/>
  <c r="N161" i="1"/>
  <c r="AP161" i="1" s="1"/>
  <c r="AO160" i="1"/>
  <c r="AN160" i="1"/>
  <c r="AI160" i="1"/>
  <c r="AH160" i="1"/>
  <c r="AC160" i="1"/>
  <c r="AB160" i="1"/>
  <c r="O160" i="1"/>
  <c r="AQ160" i="1" s="1"/>
  <c r="N160" i="1"/>
  <c r="AO159" i="1"/>
  <c r="AN159" i="1"/>
  <c r="AI159" i="1"/>
  <c r="AH159" i="1"/>
  <c r="AC159" i="1"/>
  <c r="AB159" i="1"/>
  <c r="O159" i="1"/>
  <c r="N159" i="1"/>
  <c r="AP159" i="1" s="1"/>
  <c r="AQ158" i="1"/>
  <c r="AO158" i="1"/>
  <c r="AN158" i="1"/>
  <c r="AI158" i="1"/>
  <c r="AH158" i="1"/>
  <c r="AC158" i="1"/>
  <c r="AB158" i="1"/>
  <c r="O158" i="1"/>
  <c r="N158" i="1"/>
  <c r="AP158" i="1" s="1"/>
  <c r="AO157" i="1"/>
  <c r="AN157" i="1"/>
  <c r="AI157" i="1"/>
  <c r="AH157" i="1"/>
  <c r="AC157" i="1"/>
  <c r="AB157" i="1"/>
  <c r="O157" i="1"/>
  <c r="N157" i="1"/>
  <c r="AP157" i="1" s="1"/>
  <c r="AO156" i="1"/>
  <c r="AN156" i="1"/>
  <c r="AI156" i="1"/>
  <c r="AH156" i="1"/>
  <c r="AC156" i="1"/>
  <c r="AQ156" i="1" s="1"/>
  <c r="AB156" i="1"/>
  <c r="O156" i="1"/>
  <c r="N156" i="1"/>
  <c r="AP156" i="1" s="1"/>
  <c r="AO155" i="1"/>
  <c r="AN155" i="1"/>
  <c r="AI155" i="1"/>
  <c r="AH155" i="1"/>
  <c r="AC155" i="1"/>
  <c r="AB155" i="1"/>
  <c r="O155" i="1"/>
  <c r="N155" i="1"/>
  <c r="AO154" i="1"/>
  <c r="AN154" i="1"/>
  <c r="AI154" i="1"/>
  <c r="AH154" i="1"/>
  <c r="AC154" i="1"/>
  <c r="AB154" i="1"/>
  <c r="O154" i="1"/>
  <c r="AQ154" i="1" s="1"/>
  <c r="N154" i="1"/>
  <c r="AO153" i="1"/>
  <c r="AN153" i="1"/>
  <c r="AI153" i="1"/>
  <c r="AH153" i="1"/>
  <c r="AC153" i="1"/>
  <c r="AB153" i="1"/>
  <c r="O153" i="1"/>
  <c r="N153" i="1"/>
  <c r="AP153" i="1" s="1"/>
  <c r="AQ152" i="1"/>
  <c r="AO152" i="1"/>
  <c r="AN152" i="1"/>
  <c r="AI152" i="1"/>
  <c r="AH152" i="1"/>
  <c r="AC152" i="1"/>
  <c r="AB152" i="1"/>
  <c r="O152" i="1"/>
  <c r="N152" i="1"/>
  <c r="AP152" i="1" s="1"/>
  <c r="AO151" i="1"/>
  <c r="AN151" i="1"/>
  <c r="AI151" i="1"/>
  <c r="AH151" i="1"/>
  <c r="AC151" i="1"/>
  <c r="AB151" i="1"/>
  <c r="O151" i="1"/>
  <c r="AQ151" i="1" s="1"/>
  <c r="N151" i="1"/>
  <c r="AP151" i="1" s="1"/>
  <c r="AO150" i="1"/>
  <c r="AN150" i="1"/>
  <c r="AI150" i="1"/>
  <c r="AQ150" i="1" s="1"/>
  <c r="AH150" i="1"/>
  <c r="AC150" i="1"/>
  <c r="AB150" i="1"/>
  <c r="O150" i="1"/>
  <c r="N150" i="1"/>
  <c r="AO149" i="1"/>
  <c r="AN149" i="1"/>
  <c r="AI149" i="1"/>
  <c r="AH149" i="1"/>
  <c r="AC149" i="1"/>
  <c r="AB149" i="1"/>
  <c r="O149" i="1"/>
  <c r="AQ149" i="1" s="1"/>
  <c r="N149" i="1"/>
  <c r="AP149" i="1" s="1"/>
  <c r="AO148" i="1"/>
  <c r="AN148" i="1"/>
  <c r="AI148" i="1"/>
  <c r="AH148" i="1"/>
  <c r="AC148" i="1"/>
  <c r="AB148" i="1"/>
  <c r="O148" i="1"/>
  <c r="N148" i="1"/>
  <c r="AO147" i="1"/>
  <c r="AN147" i="1"/>
  <c r="AI147" i="1"/>
  <c r="AH147" i="1"/>
  <c r="AC147" i="1"/>
  <c r="AB147" i="1"/>
  <c r="O147" i="1"/>
  <c r="N147" i="1"/>
  <c r="AP147" i="1" s="1"/>
  <c r="AO146" i="1"/>
  <c r="AQ146" i="1" s="1"/>
  <c r="AN146" i="1"/>
  <c r="AI146" i="1"/>
  <c r="AH146" i="1"/>
  <c r="AC146" i="1"/>
  <c r="AB146" i="1"/>
  <c r="O146" i="1"/>
  <c r="N146" i="1"/>
  <c r="AP146" i="1" s="1"/>
  <c r="AQ145" i="1"/>
  <c r="AO145" i="1"/>
  <c r="AN145" i="1"/>
  <c r="AI145" i="1"/>
  <c r="AH145" i="1"/>
  <c r="AC145" i="1"/>
  <c r="AB145" i="1"/>
  <c r="O145" i="1"/>
  <c r="N145" i="1"/>
  <c r="AP145" i="1" s="1"/>
  <c r="AO144" i="1"/>
  <c r="AN144" i="1"/>
  <c r="AI144" i="1"/>
  <c r="AH144" i="1"/>
  <c r="AC144" i="1"/>
  <c r="AQ144" i="1" s="1"/>
  <c r="AB144" i="1"/>
  <c r="O144" i="1"/>
  <c r="N144" i="1"/>
  <c r="AO143" i="1"/>
  <c r="AN143" i="1"/>
  <c r="AI143" i="1"/>
  <c r="AH143" i="1"/>
  <c r="AC143" i="1"/>
  <c r="AB143" i="1"/>
  <c r="O143" i="1"/>
  <c r="N143" i="1"/>
  <c r="AP143" i="1" s="1"/>
  <c r="AO142" i="1"/>
  <c r="AN142" i="1"/>
  <c r="AI142" i="1"/>
  <c r="AH142" i="1"/>
  <c r="AC142" i="1"/>
  <c r="AB142" i="1"/>
  <c r="O142" i="1"/>
  <c r="AQ142" i="1" s="1"/>
  <c r="N142" i="1"/>
  <c r="AP142" i="1" s="1"/>
  <c r="AO141" i="1"/>
  <c r="AN141" i="1"/>
  <c r="AI141" i="1"/>
  <c r="AH141" i="1"/>
  <c r="AC141" i="1"/>
  <c r="AB141" i="1"/>
  <c r="O141" i="1"/>
  <c r="AQ141" i="1" s="1"/>
  <c r="N141" i="1"/>
  <c r="AP141" i="1" s="1"/>
  <c r="AQ140" i="1"/>
  <c r="AO140" i="1"/>
  <c r="AN140" i="1"/>
  <c r="AI140" i="1"/>
  <c r="AH140" i="1"/>
  <c r="AC140" i="1"/>
  <c r="AB140" i="1"/>
  <c r="O140" i="1"/>
  <c r="N140" i="1"/>
  <c r="AP140" i="1" s="1"/>
  <c r="AO139" i="1"/>
  <c r="AN139" i="1"/>
  <c r="AI139" i="1"/>
  <c r="AH139" i="1"/>
  <c r="AC139" i="1"/>
  <c r="AB139" i="1"/>
  <c r="O139" i="1"/>
  <c r="N139" i="1"/>
  <c r="AP139" i="1" s="1"/>
  <c r="AO138" i="1"/>
  <c r="AN138" i="1"/>
  <c r="AI138" i="1"/>
  <c r="AH138" i="1"/>
  <c r="AC138" i="1"/>
  <c r="AB138" i="1"/>
  <c r="O138" i="1"/>
  <c r="AQ138" i="1" s="1"/>
  <c r="N138" i="1"/>
  <c r="AO137" i="1"/>
  <c r="AN137" i="1"/>
  <c r="AI137" i="1"/>
  <c r="AH137" i="1"/>
  <c r="AC137" i="1"/>
  <c r="AB137" i="1"/>
  <c r="O137" i="1"/>
  <c r="N137" i="1"/>
  <c r="AP137" i="1" s="1"/>
  <c r="AO136" i="1"/>
  <c r="AN136" i="1"/>
  <c r="AI136" i="1"/>
  <c r="AH136" i="1"/>
  <c r="AC136" i="1"/>
  <c r="AB136" i="1"/>
  <c r="O136" i="1"/>
  <c r="AQ136" i="1" s="1"/>
  <c r="N136" i="1"/>
  <c r="AP136" i="1" s="1"/>
  <c r="AO135" i="1"/>
  <c r="AN135" i="1"/>
  <c r="AI135" i="1"/>
  <c r="AH135" i="1"/>
  <c r="AC135" i="1"/>
  <c r="AB135" i="1"/>
  <c r="O135" i="1"/>
  <c r="N135" i="1"/>
  <c r="AP135" i="1" s="1"/>
  <c r="AO134" i="1"/>
  <c r="AN134" i="1"/>
  <c r="AI134" i="1"/>
  <c r="AH134" i="1"/>
  <c r="AC134" i="1"/>
  <c r="AB134" i="1"/>
  <c r="O134" i="1"/>
  <c r="N134" i="1"/>
  <c r="AO133" i="1"/>
  <c r="AN133" i="1"/>
  <c r="AI133" i="1"/>
  <c r="AH133" i="1"/>
  <c r="AC133" i="1"/>
  <c r="AB133" i="1"/>
  <c r="O133" i="1"/>
  <c r="AQ133" i="1" s="1"/>
  <c r="N133" i="1"/>
  <c r="AP133" i="1" s="1"/>
  <c r="AO132" i="1"/>
  <c r="AN132" i="1"/>
  <c r="AI132" i="1"/>
  <c r="AH132" i="1"/>
  <c r="AC132" i="1"/>
  <c r="AB132" i="1"/>
  <c r="O132" i="1"/>
  <c r="AQ132" i="1" s="1"/>
  <c r="N132" i="1"/>
  <c r="AO131" i="1"/>
  <c r="AN131" i="1"/>
  <c r="AI131" i="1"/>
  <c r="AH131" i="1"/>
  <c r="AC131" i="1"/>
  <c r="AB131" i="1"/>
  <c r="O131" i="1"/>
  <c r="N131" i="1"/>
  <c r="AP131" i="1" s="1"/>
  <c r="AQ130" i="1"/>
  <c r="AO130" i="1"/>
  <c r="AN130" i="1"/>
  <c r="AI130" i="1"/>
  <c r="AH130" i="1"/>
  <c r="AC130" i="1"/>
  <c r="AB130" i="1"/>
  <c r="O130" i="1"/>
  <c r="N130" i="1"/>
  <c r="AP130" i="1" s="1"/>
  <c r="AO129" i="1"/>
  <c r="AN129" i="1"/>
  <c r="AI129" i="1"/>
  <c r="AH129" i="1"/>
  <c r="AC129" i="1"/>
  <c r="AB129" i="1"/>
  <c r="O129" i="1"/>
  <c r="AQ129" i="1" s="1"/>
  <c r="N129" i="1"/>
  <c r="AP129" i="1" s="1"/>
  <c r="AO128" i="1"/>
  <c r="AN128" i="1"/>
  <c r="AI128" i="1"/>
  <c r="AH128" i="1"/>
  <c r="AC128" i="1"/>
  <c r="AB128" i="1"/>
  <c r="O128" i="1"/>
  <c r="AQ128" i="1" s="1"/>
  <c r="N128" i="1"/>
  <c r="AO127" i="1"/>
  <c r="AN127" i="1"/>
  <c r="AI127" i="1"/>
  <c r="AH127" i="1"/>
  <c r="AC127" i="1"/>
  <c r="AB127" i="1"/>
  <c r="O127" i="1"/>
  <c r="N127" i="1"/>
  <c r="AP127" i="1" s="1"/>
  <c r="AQ126" i="1"/>
  <c r="AO126" i="1"/>
  <c r="AN126" i="1"/>
  <c r="AI126" i="1"/>
  <c r="AH126" i="1"/>
  <c r="AC126" i="1"/>
  <c r="AB126" i="1"/>
  <c r="O126" i="1"/>
  <c r="N126" i="1"/>
  <c r="AP126" i="1" s="1"/>
  <c r="AO125" i="1"/>
  <c r="AN125" i="1"/>
  <c r="AI125" i="1"/>
  <c r="AH125" i="1"/>
  <c r="AC125" i="1"/>
  <c r="AB125" i="1"/>
  <c r="O125" i="1"/>
  <c r="AQ125" i="1" s="1"/>
  <c r="N125" i="1"/>
  <c r="AP125" i="1" s="1"/>
  <c r="AO124" i="1"/>
  <c r="AN124" i="1"/>
  <c r="AI124" i="1"/>
  <c r="AH124" i="1"/>
  <c r="AC124" i="1"/>
  <c r="AQ124" i="1" s="1"/>
  <c r="AB124" i="1"/>
  <c r="O124" i="1"/>
  <c r="N124" i="1"/>
  <c r="AP124" i="1" s="1"/>
  <c r="AO123" i="1"/>
  <c r="AN123" i="1"/>
  <c r="AI123" i="1"/>
  <c r="AH123" i="1"/>
  <c r="AC123" i="1"/>
  <c r="AB123" i="1"/>
  <c r="O123" i="1"/>
  <c r="AQ123" i="1" s="1"/>
  <c r="N123" i="1"/>
  <c r="AO122" i="1"/>
  <c r="AN122" i="1"/>
  <c r="AI122" i="1"/>
  <c r="AH122" i="1"/>
  <c r="AC122" i="1"/>
  <c r="AB122" i="1"/>
  <c r="O122" i="1"/>
  <c r="AQ122" i="1" s="1"/>
  <c r="N122" i="1"/>
  <c r="AO121" i="1"/>
  <c r="AN121" i="1"/>
  <c r="AI121" i="1"/>
  <c r="AH121" i="1"/>
  <c r="AC121" i="1"/>
  <c r="AB121" i="1"/>
  <c r="O121" i="1"/>
  <c r="N121" i="1"/>
  <c r="AP121" i="1" s="1"/>
  <c r="AO120" i="1"/>
  <c r="AN120" i="1"/>
  <c r="AI120" i="1"/>
  <c r="AH120" i="1"/>
  <c r="AC120" i="1"/>
  <c r="AQ120" i="1" s="1"/>
  <c r="AB120" i="1"/>
  <c r="O120" i="1"/>
  <c r="N120" i="1"/>
  <c r="AP120" i="1" s="1"/>
  <c r="AO119" i="1"/>
  <c r="AN119" i="1"/>
  <c r="AI119" i="1"/>
  <c r="AH119" i="1"/>
  <c r="AC119" i="1"/>
  <c r="AB119" i="1"/>
  <c r="O119" i="1"/>
  <c r="AQ119" i="1" s="1"/>
  <c r="N119" i="1"/>
  <c r="AO118" i="1"/>
  <c r="AN118" i="1"/>
  <c r="AI118" i="1"/>
  <c r="AH118" i="1"/>
  <c r="AC118" i="1"/>
  <c r="AB118" i="1"/>
  <c r="O118" i="1"/>
  <c r="N118" i="1"/>
  <c r="AO117" i="1"/>
  <c r="AN117" i="1"/>
  <c r="AI117" i="1"/>
  <c r="AH117" i="1"/>
  <c r="AC117" i="1"/>
  <c r="AB117" i="1"/>
  <c r="O117" i="1"/>
  <c r="AQ117" i="1" s="1"/>
  <c r="N117" i="1"/>
  <c r="AP117" i="1" s="1"/>
  <c r="AO116" i="1"/>
  <c r="AN116" i="1"/>
  <c r="AI116" i="1"/>
  <c r="AH116" i="1"/>
  <c r="AC116" i="1"/>
  <c r="AB116" i="1"/>
  <c r="O116" i="1"/>
  <c r="AQ116" i="1" s="1"/>
  <c r="N116" i="1"/>
  <c r="AO115" i="1"/>
  <c r="AN115" i="1"/>
  <c r="AI115" i="1"/>
  <c r="AH115" i="1"/>
  <c r="AC115" i="1"/>
  <c r="AB115" i="1"/>
  <c r="O115" i="1"/>
  <c r="N115" i="1"/>
  <c r="AO114" i="1"/>
  <c r="AN114" i="1"/>
  <c r="AI114" i="1"/>
  <c r="AH114" i="1"/>
  <c r="AC114" i="1"/>
  <c r="AB114" i="1"/>
  <c r="O114" i="1"/>
  <c r="AQ114" i="1" s="1"/>
  <c r="N114" i="1"/>
  <c r="AP114" i="1" s="1"/>
  <c r="AO113" i="1"/>
  <c r="AN113" i="1"/>
  <c r="AI113" i="1"/>
  <c r="AH113" i="1"/>
  <c r="AC113" i="1"/>
  <c r="AB113" i="1"/>
  <c r="O113" i="1"/>
  <c r="AQ113" i="1" s="1"/>
  <c r="N113" i="1"/>
  <c r="AP113" i="1" s="1"/>
  <c r="AO112" i="1"/>
  <c r="AN112" i="1"/>
  <c r="AI112" i="1"/>
  <c r="AH112" i="1"/>
  <c r="AC112" i="1"/>
  <c r="AQ112" i="1" s="1"/>
  <c r="AB112" i="1"/>
  <c r="O112" i="1"/>
  <c r="N112" i="1"/>
  <c r="AO111" i="1"/>
  <c r="AN111" i="1"/>
  <c r="AI111" i="1"/>
  <c r="AH111" i="1"/>
  <c r="AC111" i="1"/>
  <c r="AB111" i="1"/>
  <c r="O111" i="1"/>
  <c r="N111" i="1"/>
  <c r="AP111" i="1" s="1"/>
  <c r="AQ110" i="1"/>
  <c r="AO110" i="1"/>
  <c r="AN110" i="1"/>
  <c r="AI110" i="1"/>
  <c r="AH110" i="1"/>
  <c r="AC110" i="1"/>
  <c r="AB110" i="1"/>
  <c r="O110" i="1"/>
  <c r="N110" i="1"/>
  <c r="AO109" i="1"/>
  <c r="AN109" i="1"/>
  <c r="AI109" i="1"/>
  <c r="AH109" i="1"/>
  <c r="AC109" i="1"/>
  <c r="AB109" i="1"/>
  <c r="O109" i="1"/>
  <c r="AQ109" i="1" s="1"/>
  <c r="N109" i="1"/>
  <c r="AP109" i="1" s="1"/>
  <c r="AO108" i="1"/>
  <c r="AN108" i="1"/>
  <c r="AI108" i="1"/>
  <c r="AH108" i="1"/>
  <c r="AC108" i="1"/>
  <c r="AB108" i="1"/>
  <c r="O108" i="1"/>
  <c r="N108" i="1"/>
  <c r="AO107" i="1"/>
  <c r="AN107" i="1"/>
  <c r="AI107" i="1"/>
  <c r="AH107" i="1"/>
  <c r="AC107" i="1"/>
  <c r="AB107" i="1"/>
  <c r="O107" i="1"/>
  <c r="N107" i="1"/>
  <c r="AO106" i="1"/>
  <c r="AN106" i="1"/>
  <c r="AI106" i="1"/>
  <c r="AH106" i="1"/>
  <c r="AC106" i="1"/>
  <c r="AB106" i="1"/>
  <c r="O106" i="1"/>
  <c r="AQ106" i="1" s="1"/>
  <c r="N106" i="1"/>
  <c r="AP106" i="1" s="1"/>
  <c r="AQ105" i="1"/>
  <c r="AO105" i="1"/>
  <c r="AN105" i="1"/>
  <c r="AI105" i="1"/>
  <c r="AH105" i="1"/>
  <c r="AC105" i="1"/>
  <c r="AB105" i="1"/>
  <c r="O105" i="1"/>
  <c r="N105" i="1"/>
  <c r="AP105" i="1" s="1"/>
  <c r="AO104" i="1"/>
  <c r="AN104" i="1"/>
  <c r="AI104" i="1"/>
  <c r="AH104" i="1"/>
  <c r="AC104" i="1"/>
  <c r="AQ104" i="1" s="1"/>
  <c r="AB104" i="1"/>
  <c r="O104" i="1"/>
  <c r="N104" i="1"/>
  <c r="AO103" i="1"/>
  <c r="AN103" i="1"/>
  <c r="AI103" i="1"/>
  <c r="AH103" i="1"/>
  <c r="AC103" i="1"/>
  <c r="AB103" i="1"/>
  <c r="O103" i="1"/>
  <c r="N103" i="1"/>
  <c r="AP103" i="1" s="1"/>
  <c r="AO102" i="1"/>
  <c r="AN102" i="1"/>
  <c r="AI102" i="1"/>
  <c r="AH102" i="1"/>
  <c r="AC102" i="1"/>
  <c r="AB102" i="1"/>
  <c r="O102" i="1"/>
  <c r="N102" i="1"/>
  <c r="AO101" i="1"/>
  <c r="AN101" i="1"/>
  <c r="AI101" i="1"/>
  <c r="AH101" i="1"/>
  <c r="AC101" i="1"/>
  <c r="AB101" i="1"/>
  <c r="O101" i="1"/>
  <c r="AQ101" i="1" s="1"/>
  <c r="N101" i="1"/>
  <c r="AP101" i="1" s="1"/>
  <c r="AO100" i="1"/>
  <c r="AN100" i="1"/>
  <c r="AI100" i="1"/>
  <c r="AQ100" i="1" s="1"/>
  <c r="AH100" i="1"/>
  <c r="AC100" i="1"/>
  <c r="AB100" i="1"/>
  <c r="O100" i="1"/>
  <c r="N100" i="1"/>
  <c r="AP100" i="1" s="1"/>
  <c r="AO99" i="1"/>
  <c r="AN99" i="1"/>
  <c r="AI99" i="1"/>
  <c r="AH99" i="1"/>
  <c r="AC99" i="1"/>
  <c r="AB99" i="1"/>
  <c r="O99" i="1"/>
  <c r="AQ99" i="1" s="1"/>
  <c r="N99" i="1"/>
  <c r="AP99" i="1" s="1"/>
  <c r="AO98" i="1"/>
  <c r="AN98" i="1"/>
  <c r="AI98" i="1"/>
  <c r="AH98" i="1"/>
  <c r="AC98" i="1"/>
  <c r="AB98" i="1"/>
  <c r="O98" i="1"/>
  <c r="AQ98" i="1" s="1"/>
  <c r="N98" i="1"/>
  <c r="AP98" i="1" s="1"/>
  <c r="AO97" i="1"/>
  <c r="AN97" i="1"/>
  <c r="AI97" i="1"/>
  <c r="AH97" i="1"/>
  <c r="AC97" i="1"/>
  <c r="AB97" i="1"/>
  <c r="O97" i="1"/>
  <c r="N97" i="1"/>
  <c r="AQ96" i="1"/>
  <c r="AO96" i="1"/>
  <c r="AN96" i="1"/>
  <c r="AI96" i="1"/>
  <c r="AH96" i="1"/>
  <c r="AC96" i="1"/>
  <c r="AB96" i="1"/>
  <c r="O96" i="1"/>
  <c r="N96" i="1"/>
  <c r="AP96" i="1" s="1"/>
  <c r="AO95" i="1"/>
  <c r="AN95" i="1"/>
  <c r="AI95" i="1"/>
  <c r="AH95" i="1"/>
  <c r="AC95" i="1"/>
  <c r="AB95" i="1"/>
  <c r="O95" i="1"/>
  <c r="AQ95" i="1" s="1"/>
  <c r="N95" i="1"/>
  <c r="AP95" i="1" s="1"/>
  <c r="AO94" i="1"/>
  <c r="AQ94" i="1" s="1"/>
  <c r="AN94" i="1"/>
  <c r="AI94" i="1"/>
  <c r="AH94" i="1"/>
  <c r="AC94" i="1"/>
  <c r="AB94" i="1"/>
  <c r="O94" i="1"/>
  <c r="N94" i="1"/>
  <c r="AO93" i="1"/>
  <c r="AN93" i="1"/>
  <c r="AI93" i="1"/>
  <c r="AH93" i="1"/>
  <c r="AC93" i="1"/>
  <c r="AB93" i="1"/>
  <c r="O93" i="1"/>
  <c r="AQ93" i="1" s="1"/>
  <c r="N93" i="1"/>
  <c r="AP93" i="1" s="1"/>
  <c r="AO92" i="1"/>
  <c r="AN92" i="1"/>
  <c r="AI92" i="1"/>
  <c r="AH92" i="1"/>
  <c r="AC92" i="1"/>
  <c r="AB92" i="1"/>
  <c r="O92" i="1"/>
  <c r="N92" i="1"/>
  <c r="AO91" i="1"/>
  <c r="AN91" i="1"/>
  <c r="AI91" i="1"/>
  <c r="AH91" i="1"/>
  <c r="AC91" i="1"/>
  <c r="AB91" i="1"/>
  <c r="O91" i="1"/>
  <c r="N91" i="1"/>
  <c r="AP91" i="1" s="1"/>
  <c r="AO90" i="1"/>
  <c r="AN90" i="1"/>
  <c r="AI90" i="1"/>
  <c r="AH90" i="1"/>
  <c r="AC90" i="1"/>
  <c r="AB90" i="1"/>
  <c r="O90" i="1"/>
  <c r="AQ90" i="1" s="1"/>
  <c r="N90" i="1"/>
  <c r="AP90" i="1" s="1"/>
  <c r="AO89" i="1"/>
  <c r="AQ89" i="1" s="1"/>
  <c r="AN89" i="1"/>
  <c r="AI89" i="1"/>
  <c r="AH89" i="1"/>
  <c r="AC89" i="1"/>
  <c r="AB89" i="1"/>
  <c r="O89" i="1"/>
  <c r="N89" i="1"/>
  <c r="AQ88" i="1"/>
  <c r="AO88" i="1"/>
  <c r="AN88" i="1"/>
  <c r="AI88" i="1"/>
  <c r="AH88" i="1"/>
  <c r="AC88" i="1"/>
  <c r="AB88" i="1"/>
  <c r="O88" i="1"/>
  <c r="N88" i="1"/>
  <c r="AP88" i="1" s="1"/>
  <c r="AO87" i="1"/>
  <c r="AN87" i="1"/>
  <c r="AI87" i="1"/>
  <c r="AH87" i="1"/>
  <c r="AC87" i="1"/>
  <c r="AB87" i="1"/>
  <c r="O87" i="1"/>
  <c r="AQ87" i="1" s="1"/>
  <c r="N87" i="1"/>
  <c r="AP87" i="1" s="1"/>
  <c r="AO86" i="1"/>
  <c r="AN86" i="1"/>
  <c r="AI86" i="1"/>
  <c r="AH86" i="1"/>
  <c r="AC86" i="1"/>
  <c r="AB86" i="1"/>
  <c r="O86" i="1"/>
  <c r="AQ86" i="1" s="1"/>
  <c r="N86" i="1"/>
  <c r="AO85" i="1"/>
  <c r="AN85" i="1"/>
  <c r="AI85" i="1"/>
  <c r="AH85" i="1"/>
  <c r="AC85" i="1"/>
  <c r="AB85" i="1"/>
  <c r="O85" i="1"/>
  <c r="AQ85" i="1" s="1"/>
  <c r="N85" i="1"/>
  <c r="AP85" i="1" s="1"/>
  <c r="AO84" i="1"/>
  <c r="AN84" i="1"/>
  <c r="AI84" i="1"/>
  <c r="AQ84" i="1" s="1"/>
  <c r="AH84" i="1"/>
  <c r="AC84" i="1"/>
  <c r="AB84" i="1"/>
  <c r="O84" i="1"/>
  <c r="N84" i="1"/>
  <c r="AP84" i="1" s="1"/>
  <c r="AO83" i="1"/>
  <c r="AN83" i="1"/>
  <c r="AI83" i="1"/>
  <c r="AH83" i="1"/>
  <c r="AC83" i="1"/>
  <c r="AB83" i="1"/>
  <c r="O83" i="1"/>
  <c r="N83" i="1"/>
  <c r="AP83" i="1" s="1"/>
  <c r="AO82" i="1"/>
  <c r="AN82" i="1"/>
  <c r="AI82" i="1"/>
  <c r="AH82" i="1"/>
  <c r="AC82" i="1"/>
  <c r="AB82" i="1"/>
  <c r="O82" i="1"/>
  <c r="AQ82" i="1" s="1"/>
  <c r="N82" i="1"/>
  <c r="AP82" i="1" s="1"/>
  <c r="AO81" i="1"/>
  <c r="AN81" i="1"/>
  <c r="AI81" i="1"/>
  <c r="AH81" i="1"/>
  <c r="AC81" i="1"/>
  <c r="AB81" i="1"/>
  <c r="O81" i="1"/>
  <c r="AQ81" i="1" s="1"/>
  <c r="N81" i="1"/>
  <c r="AQ80" i="1"/>
  <c r="AO80" i="1"/>
  <c r="AN80" i="1"/>
  <c r="AI80" i="1"/>
  <c r="AH80" i="1"/>
  <c r="AC80" i="1"/>
  <c r="AB80" i="1"/>
  <c r="O80" i="1"/>
  <c r="N80" i="1"/>
  <c r="AP80" i="1" s="1"/>
  <c r="AO79" i="1"/>
  <c r="AN79" i="1"/>
  <c r="AI79" i="1"/>
  <c r="AH79" i="1"/>
  <c r="AC79" i="1"/>
  <c r="AB79" i="1"/>
  <c r="O79" i="1"/>
  <c r="AQ79" i="1" s="1"/>
  <c r="N79" i="1"/>
  <c r="AP79" i="1" s="1"/>
  <c r="AO78" i="1"/>
  <c r="AN78" i="1"/>
  <c r="AI78" i="1"/>
  <c r="AH78" i="1"/>
  <c r="AC78" i="1"/>
  <c r="AB78" i="1"/>
  <c r="O78" i="1"/>
  <c r="AQ78" i="1" s="1"/>
  <c r="N78" i="1"/>
  <c r="AO77" i="1"/>
  <c r="AN77" i="1"/>
  <c r="AI77" i="1"/>
  <c r="AH77" i="1"/>
  <c r="AC77" i="1"/>
  <c r="AB77" i="1"/>
  <c r="O77" i="1"/>
  <c r="AQ77" i="1" s="1"/>
  <c r="N77" i="1"/>
  <c r="AP77" i="1" s="1"/>
  <c r="AO76" i="1"/>
  <c r="AN76" i="1"/>
  <c r="AI76" i="1"/>
  <c r="AH76" i="1"/>
  <c r="AC76" i="1"/>
  <c r="AB76" i="1"/>
  <c r="O76" i="1"/>
  <c r="AQ76" i="1" s="1"/>
  <c r="N76" i="1"/>
  <c r="AO75" i="1"/>
  <c r="AN75" i="1"/>
  <c r="AI75" i="1"/>
  <c r="AH75" i="1"/>
  <c r="AC75" i="1"/>
  <c r="AB75" i="1"/>
  <c r="O75" i="1"/>
  <c r="N75" i="1"/>
  <c r="AO74" i="1"/>
  <c r="AN74" i="1"/>
  <c r="AI74" i="1"/>
  <c r="AH74" i="1"/>
  <c r="AC74" i="1"/>
  <c r="AB74" i="1"/>
  <c r="O74" i="1"/>
  <c r="AQ74" i="1" s="1"/>
  <c r="N74" i="1"/>
  <c r="AP74" i="1" s="1"/>
  <c r="AO73" i="1"/>
  <c r="AN73" i="1"/>
  <c r="AI73" i="1"/>
  <c r="AH73" i="1"/>
  <c r="AC73" i="1"/>
  <c r="AB73" i="1"/>
  <c r="O73" i="1"/>
  <c r="AQ73" i="1" s="1"/>
  <c r="N73" i="1"/>
  <c r="AQ72" i="1"/>
  <c r="AO72" i="1"/>
  <c r="AN72" i="1"/>
  <c r="AI72" i="1"/>
  <c r="AH72" i="1"/>
  <c r="AC72" i="1"/>
  <c r="AB72" i="1"/>
  <c r="O72" i="1"/>
  <c r="N72" i="1"/>
  <c r="AO71" i="1"/>
  <c r="AN71" i="1"/>
  <c r="AI71" i="1"/>
  <c r="AH71" i="1"/>
  <c r="AC71" i="1"/>
  <c r="AB71" i="1"/>
  <c r="O71" i="1"/>
  <c r="N71" i="1"/>
  <c r="AP71" i="1" s="1"/>
  <c r="AO70" i="1"/>
  <c r="AN70" i="1"/>
  <c r="AI70" i="1"/>
  <c r="AH70" i="1"/>
  <c r="AC70" i="1"/>
  <c r="AB70" i="1"/>
  <c r="O70" i="1"/>
  <c r="AQ70" i="1" s="1"/>
  <c r="N70" i="1"/>
  <c r="AP70" i="1" s="1"/>
  <c r="AO69" i="1"/>
  <c r="AN69" i="1"/>
  <c r="AI69" i="1"/>
  <c r="AH69" i="1"/>
  <c r="AC69" i="1"/>
  <c r="AB69" i="1"/>
  <c r="O69" i="1"/>
  <c r="AQ69" i="1" s="1"/>
  <c r="N69" i="1"/>
  <c r="AP69" i="1" s="1"/>
  <c r="AQ68" i="1"/>
  <c r="AO68" i="1"/>
  <c r="AN68" i="1"/>
  <c r="AI68" i="1"/>
  <c r="AH68" i="1"/>
  <c r="AC68" i="1"/>
  <c r="AB68" i="1"/>
  <c r="O68" i="1"/>
  <c r="N68" i="1"/>
  <c r="AO67" i="1"/>
  <c r="AN67" i="1"/>
  <c r="AI67" i="1"/>
  <c r="AH67" i="1"/>
  <c r="AC67" i="1"/>
  <c r="AB67" i="1"/>
  <c r="O67" i="1"/>
  <c r="N67" i="1"/>
  <c r="AO66" i="1"/>
  <c r="AN66" i="1"/>
  <c r="AI66" i="1"/>
  <c r="AH66" i="1"/>
  <c r="AC66" i="1"/>
  <c r="AB66" i="1"/>
  <c r="O66" i="1"/>
  <c r="AQ66" i="1" s="1"/>
  <c r="N66" i="1"/>
  <c r="AP66" i="1" s="1"/>
  <c r="AO65" i="1"/>
  <c r="AN65" i="1"/>
  <c r="AI65" i="1"/>
  <c r="AH65" i="1"/>
  <c r="AC65" i="1"/>
  <c r="AB65" i="1"/>
  <c r="O65" i="1"/>
  <c r="AQ65" i="1" s="1"/>
  <c r="N65" i="1"/>
  <c r="AP65" i="1" s="1"/>
  <c r="AO64" i="1"/>
  <c r="AN64" i="1"/>
  <c r="AI64" i="1"/>
  <c r="AH64" i="1"/>
  <c r="AC64" i="1"/>
  <c r="AQ64" i="1" s="1"/>
  <c r="AB64" i="1"/>
  <c r="O64" i="1"/>
  <c r="N64" i="1"/>
  <c r="AO63" i="1"/>
  <c r="AN63" i="1"/>
  <c r="AI63" i="1"/>
  <c r="AH63" i="1"/>
  <c r="AC63" i="1"/>
  <c r="AB63" i="1"/>
  <c r="O63" i="1"/>
  <c r="N63" i="1"/>
  <c r="AP63" i="1" s="1"/>
  <c r="AQ62" i="1"/>
  <c r="AO62" i="1"/>
  <c r="AN62" i="1"/>
  <c r="AI62" i="1"/>
  <c r="AH62" i="1"/>
  <c r="AC62" i="1"/>
  <c r="AB62" i="1"/>
  <c r="O62" i="1"/>
  <c r="N62" i="1"/>
  <c r="AP62" i="1" s="1"/>
  <c r="AO61" i="1"/>
  <c r="AN61" i="1"/>
  <c r="AI61" i="1"/>
  <c r="AH61" i="1"/>
  <c r="AC61" i="1"/>
  <c r="AB61" i="1"/>
  <c r="O61" i="1"/>
  <c r="AQ61" i="1" s="1"/>
  <c r="N61" i="1"/>
  <c r="AP61" i="1" s="1"/>
  <c r="AO60" i="1"/>
  <c r="AN60" i="1"/>
  <c r="AI60" i="1"/>
  <c r="AH60" i="1"/>
  <c r="AC60" i="1"/>
  <c r="AB60" i="1"/>
  <c r="O60" i="1"/>
  <c r="N60" i="1"/>
  <c r="AO59" i="1"/>
  <c r="AN59" i="1"/>
  <c r="AI59" i="1"/>
  <c r="AH59" i="1"/>
  <c r="AC59" i="1"/>
  <c r="AB59" i="1"/>
  <c r="O59" i="1"/>
  <c r="N59" i="1"/>
  <c r="AO58" i="1"/>
  <c r="AN58" i="1"/>
  <c r="AI58" i="1"/>
  <c r="AH58" i="1"/>
  <c r="AC58" i="1"/>
  <c r="AB58" i="1"/>
  <c r="O58" i="1"/>
  <c r="AQ58" i="1" s="1"/>
  <c r="N58" i="1"/>
  <c r="AP58" i="1" s="1"/>
  <c r="AQ57" i="1"/>
  <c r="AO57" i="1"/>
  <c r="AN57" i="1"/>
  <c r="AI57" i="1"/>
  <c r="AH57" i="1"/>
  <c r="AC57" i="1"/>
  <c r="AB57" i="1"/>
  <c r="O57" i="1"/>
  <c r="N57" i="1"/>
  <c r="AP57" i="1" s="1"/>
  <c r="AO56" i="1"/>
  <c r="AN56" i="1"/>
  <c r="AI56" i="1"/>
  <c r="AH56" i="1"/>
  <c r="AC56" i="1"/>
  <c r="AQ56" i="1" s="1"/>
  <c r="AB56" i="1"/>
  <c r="O56" i="1"/>
  <c r="N56" i="1"/>
  <c r="AO55" i="1"/>
  <c r="AN55" i="1"/>
  <c r="AI55" i="1"/>
  <c r="AH55" i="1"/>
  <c r="AC55" i="1"/>
  <c r="AB55" i="1"/>
  <c r="O55" i="1"/>
  <c r="N55" i="1"/>
  <c r="AP55" i="1" s="1"/>
  <c r="AO54" i="1"/>
  <c r="AN54" i="1"/>
  <c r="AI54" i="1"/>
  <c r="AH54" i="1"/>
  <c r="AC54" i="1"/>
  <c r="AB54" i="1"/>
  <c r="O54" i="1"/>
  <c r="N54" i="1"/>
  <c r="AO53" i="1"/>
  <c r="AN53" i="1"/>
  <c r="AI53" i="1"/>
  <c r="AH53" i="1"/>
  <c r="AC53" i="1"/>
  <c r="AB53" i="1"/>
  <c r="O53" i="1"/>
  <c r="AQ53" i="1" s="1"/>
  <c r="N53" i="1"/>
  <c r="AP53" i="1" s="1"/>
  <c r="AO52" i="1"/>
  <c r="AN52" i="1"/>
  <c r="AI52" i="1"/>
  <c r="AQ52" i="1" s="1"/>
  <c r="AH52" i="1"/>
  <c r="AC52" i="1"/>
  <c r="AB52" i="1"/>
  <c r="O52" i="1"/>
  <c r="N52" i="1"/>
  <c r="AO51" i="1"/>
  <c r="AN51" i="1"/>
  <c r="AI51" i="1"/>
  <c r="AH51" i="1"/>
  <c r="AC51" i="1"/>
  <c r="AB51" i="1"/>
  <c r="O51" i="1"/>
  <c r="N51" i="1"/>
  <c r="AP51" i="1" s="1"/>
  <c r="AO50" i="1"/>
  <c r="AN50" i="1"/>
  <c r="AI50" i="1"/>
  <c r="AH50" i="1"/>
  <c r="AC50" i="1"/>
  <c r="AB50" i="1"/>
  <c r="O50" i="1"/>
  <c r="AQ50" i="1" s="1"/>
  <c r="N50" i="1"/>
  <c r="AP50" i="1" s="1"/>
  <c r="AO49" i="1"/>
  <c r="AN49" i="1"/>
  <c r="AI49" i="1"/>
  <c r="AH49" i="1"/>
  <c r="AC49" i="1"/>
  <c r="AB49" i="1"/>
  <c r="O49" i="1"/>
  <c r="AQ49" i="1" s="1"/>
  <c r="N49" i="1"/>
  <c r="AP49" i="1" s="1"/>
  <c r="AO48" i="1"/>
  <c r="AN48" i="1"/>
  <c r="AI48" i="1"/>
  <c r="AH48" i="1"/>
  <c r="AC48" i="1"/>
  <c r="AB48" i="1"/>
  <c r="O48" i="1"/>
  <c r="AQ48" i="1" s="1"/>
  <c r="N48" i="1"/>
  <c r="AO47" i="1"/>
  <c r="AQ47" i="1" s="1"/>
  <c r="AN47" i="1"/>
  <c r="AI47" i="1"/>
  <c r="AH47" i="1"/>
  <c r="AC47" i="1"/>
  <c r="AB47" i="1"/>
  <c r="O47" i="1"/>
  <c r="N47" i="1"/>
  <c r="AP47" i="1" s="1"/>
  <c r="AO46" i="1"/>
  <c r="AN46" i="1"/>
  <c r="AI46" i="1"/>
  <c r="AH46" i="1"/>
  <c r="AC46" i="1"/>
  <c r="AB46" i="1"/>
  <c r="O46" i="1"/>
  <c r="AQ46" i="1" s="1"/>
  <c r="N46" i="1"/>
  <c r="AP46" i="1" s="1"/>
  <c r="AO45" i="1"/>
  <c r="AN45" i="1"/>
  <c r="AI45" i="1"/>
  <c r="AH45" i="1"/>
  <c r="AC45" i="1"/>
  <c r="AB45" i="1"/>
  <c r="O45" i="1"/>
  <c r="AQ45" i="1" s="1"/>
  <c r="N45" i="1"/>
  <c r="AO44" i="1"/>
  <c r="AN44" i="1"/>
  <c r="AI44" i="1"/>
  <c r="AH44" i="1"/>
  <c r="AC44" i="1"/>
  <c r="AQ44" i="1" s="1"/>
  <c r="AB44" i="1"/>
  <c r="O44" i="1"/>
  <c r="N44" i="1"/>
  <c r="AO43" i="1"/>
  <c r="AN43" i="1"/>
  <c r="AI43" i="1"/>
  <c r="AH43" i="1"/>
  <c r="AC43" i="1"/>
  <c r="AB43" i="1"/>
  <c r="O43" i="1"/>
  <c r="AQ43" i="1" s="1"/>
  <c r="N43" i="1"/>
  <c r="AP43" i="1" s="1"/>
  <c r="AO42" i="1"/>
  <c r="AN42" i="1"/>
  <c r="AI42" i="1"/>
  <c r="AH42" i="1"/>
  <c r="AC42" i="1"/>
  <c r="AB42" i="1"/>
  <c r="O42" i="1"/>
  <c r="AQ42" i="1" s="1"/>
  <c r="N42" i="1"/>
  <c r="AP42" i="1" s="1"/>
  <c r="AO41" i="1"/>
  <c r="AN41" i="1"/>
  <c r="AI41" i="1"/>
  <c r="AH41" i="1"/>
  <c r="AC41" i="1"/>
  <c r="AB41" i="1"/>
  <c r="O41" i="1"/>
  <c r="AQ41" i="1" s="1"/>
  <c r="N41" i="1"/>
  <c r="AO40" i="1"/>
  <c r="AN40" i="1"/>
  <c r="AI40" i="1"/>
  <c r="AH40" i="1"/>
  <c r="AC40" i="1"/>
  <c r="AB40" i="1"/>
  <c r="O40" i="1"/>
  <c r="N40" i="1"/>
  <c r="AO39" i="1"/>
  <c r="AN39" i="1"/>
  <c r="AI39" i="1"/>
  <c r="AH39" i="1"/>
  <c r="AC39" i="1"/>
  <c r="AB39" i="1"/>
  <c r="O39" i="1"/>
  <c r="AQ39" i="1" s="1"/>
  <c r="N39" i="1"/>
  <c r="AP39" i="1" s="1"/>
  <c r="AO38" i="1"/>
  <c r="AN38" i="1"/>
  <c r="AI38" i="1"/>
  <c r="AH38" i="1"/>
  <c r="AC38" i="1"/>
  <c r="AB38" i="1"/>
  <c r="O38" i="1"/>
  <c r="AQ38" i="1" s="1"/>
  <c r="N38" i="1"/>
  <c r="AO37" i="1"/>
  <c r="AN37" i="1"/>
  <c r="AI37" i="1"/>
  <c r="AH37" i="1"/>
  <c r="AC37" i="1"/>
  <c r="AB37" i="1"/>
  <c r="O37" i="1"/>
  <c r="AQ37" i="1" s="1"/>
  <c r="N37" i="1"/>
  <c r="AP37" i="1" s="1"/>
  <c r="AO36" i="1"/>
  <c r="AN36" i="1"/>
  <c r="AI36" i="1"/>
  <c r="AH36" i="1"/>
  <c r="AC36" i="1"/>
  <c r="AB36" i="1"/>
  <c r="O36" i="1"/>
  <c r="AQ36" i="1" s="1"/>
  <c r="N36" i="1"/>
  <c r="AO35" i="1"/>
  <c r="AN35" i="1"/>
  <c r="AI35" i="1"/>
  <c r="AH35" i="1"/>
  <c r="AC35" i="1"/>
  <c r="AB35" i="1"/>
  <c r="O35" i="1"/>
  <c r="N35" i="1"/>
  <c r="AP35" i="1" s="1"/>
  <c r="AO34" i="1"/>
  <c r="AN34" i="1"/>
  <c r="AI34" i="1"/>
  <c r="AH34" i="1"/>
  <c r="AC34" i="1"/>
  <c r="AB34" i="1"/>
  <c r="O34" i="1"/>
  <c r="AQ34" i="1" s="1"/>
  <c r="N34" i="1"/>
  <c r="AP34" i="1" s="1"/>
  <c r="AO33" i="1"/>
  <c r="AN33" i="1"/>
  <c r="AI33" i="1"/>
  <c r="AH33" i="1"/>
  <c r="AC33" i="1"/>
  <c r="AB33" i="1"/>
  <c r="O33" i="1"/>
  <c r="N33" i="1"/>
  <c r="AP33" i="1" s="1"/>
  <c r="AQ32" i="1"/>
  <c r="AO32" i="1"/>
  <c r="AN32" i="1"/>
  <c r="AI32" i="1"/>
  <c r="AH32" i="1"/>
  <c r="AC32" i="1"/>
  <c r="AB32" i="1"/>
  <c r="O32" i="1"/>
  <c r="N32" i="1"/>
  <c r="AP32" i="1" s="1"/>
  <c r="AO31" i="1"/>
  <c r="AN31" i="1"/>
  <c r="AI31" i="1"/>
  <c r="AH31" i="1"/>
  <c r="AC31" i="1"/>
  <c r="AB31" i="1"/>
  <c r="O31" i="1"/>
  <c r="N31" i="1"/>
  <c r="AP31" i="1" s="1"/>
  <c r="AO30" i="1"/>
  <c r="AN30" i="1"/>
  <c r="AI30" i="1"/>
  <c r="AH30" i="1"/>
  <c r="AC30" i="1"/>
  <c r="AB30" i="1"/>
  <c r="O30" i="1"/>
  <c r="AQ30" i="1" s="1"/>
  <c r="N30" i="1"/>
  <c r="AP30" i="1" s="1"/>
  <c r="AO29" i="1"/>
  <c r="AN29" i="1"/>
  <c r="AI29" i="1"/>
  <c r="AH29" i="1"/>
  <c r="AC29" i="1"/>
  <c r="AQ29" i="1" s="1"/>
  <c r="AB29" i="1"/>
  <c r="O29" i="1"/>
  <c r="N29" i="1"/>
  <c r="AO28" i="1"/>
  <c r="AN28" i="1"/>
  <c r="AI28" i="1"/>
  <c r="AH28" i="1"/>
  <c r="AC28" i="1"/>
  <c r="AB28" i="1"/>
  <c r="O28" i="1"/>
  <c r="AQ28" i="1" s="1"/>
  <c r="N28" i="1"/>
  <c r="AP28" i="1" s="1"/>
  <c r="AO27" i="1"/>
  <c r="AN27" i="1"/>
  <c r="AI27" i="1"/>
  <c r="AH27" i="1"/>
  <c r="AC27" i="1"/>
  <c r="AB27" i="1"/>
  <c r="O27" i="1"/>
  <c r="N27" i="1"/>
  <c r="AP27" i="1" s="1"/>
  <c r="AO26" i="1"/>
  <c r="AN26" i="1"/>
  <c r="AI26" i="1"/>
  <c r="AH26" i="1"/>
  <c r="AC26" i="1"/>
  <c r="AB26" i="1"/>
  <c r="O26" i="1"/>
  <c r="AQ26" i="1" s="1"/>
  <c r="N26" i="1"/>
  <c r="AP26" i="1" s="1"/>
  <c r="AQ25" i="1"/>
  <c r="AO25" i="1"/>
  <c r="AN25" i="1"/>
  <c r="AI25" i="1"/>
  <c r="AH25" i="1"/>
  <c r="AC25" i="1"/>
  <c r="AB25" i="1"/>
  <c r="O25" i="1"/>
  <c r="N25" i="1"/>
  <c r="AP25" i="1" s="1"/>
  <c r="AO24" i="1"/>
  <c r="AN24" i="1"/>
  <c r="AI24" i="1"/>
  <c r="AH24" i="1"/>
  <c r="AC24" i="1"/>
  <c r="AB24" i="1"/>
  <c r="O24" i="1"/>
  <c r="AQ24" i="1" s="1"/>
  <c r="N24" i="1"/>
  <c r="AP24" i="1" s="1"/>
  <c r="AO23" i="1"/>
  <c r="AN23" i="1"/>
  <c r="AI23" i="1"/>
  <c r="AH23" i="1"/>
  <c r="AC23" i="1"/>
  <c r="AB23" i="1"/>
  <c r="O23" i="1"/>
  <c r="N23" i="1"/>
  <c r="AO22" i="1"/>
  <c r="AN22" i="1"/>
  <c r="AI22" i="1"/>
  <c r="AH22" i="1"/>
  <c r="AC22" i="1"/>
  <c r="AB22" i="1"/>
  <c r="O22" i="1"/>
  <c r="AQ22" i="1" s="1"/>
  <c r="N22" i="1"/>
  <c r="AP22" i="1" s="1"/>
  <c r="AQ21" i="1"/>
  <c r="AO21" i="1"/>
  <c r="AN21" i="1"/>
  <c r="AI21" i="1"/>
  <c r="AH21" i="1"/>
  <c r="AC21" i="1"/>
  <c r="AB21" i="1"/>
  <c r="O21" i="1"/>
  <c r="N21" i="1"/>
  <c r="AP21" i="1" s="1"/>
  <c r="AO20" i="1"/>
  <c r="AN20" i="1"/>
  <c r="AI20" i="1"/>
  <c r="AH20" i="1"/>
  <c r="AC20" i="1"/>
  <c r="AB20" i="1"/>
  <c r="O20" i="1"/>
  <c r="AQ20" i="1" s="1"/>
  <c r="N20" i="1"/>
  <c r="AP20" i="1" s="1"/>
  <c r="AO19" i="1"/>
  <c r="AN19" i="1"/>
  <c r="AI19" i="1"/>
  <c r="AH19" i="1"/>
  <c r="AC19" i="1"/>
  <c r="AB19" i="1"/>
  <c r="O19" i="1"/>
  <c r="N19" i="1"/>
  <c r="AO18" i="1"/>
  <c r="AN18" i="1"/>
  <c r="AI18" i="1"/>
  <c r="AH18" i="1"/>
  <c r="AC18" i="1"/>
  <c r="AB18" i="1"/>
  <c r="O18" i="1"/>
  <c r="AQ18" i="1" s="1"/>
  <c r="N18" i="1"/>
  <c r="AP18" i="1" s="1"/>
  <c r="AO17" i="1"/>
  <c r="AN17" i="1"/>
  <c r="AI17" i="1"/>
  <c r="AH17" i="1"/>
  <c r="AC17" i="1"/>
  <c r="AQ17" i="1" s="1"/>
  <c r="AB17" i="1"/>
  <c r="O17" i="1"/>
  <c r="N17" i="1"/>
  <c r="AO16" i="1"/>
  <c r="AN16" i="1"/>
  <c r="AI16" i="1"/>
  <c r="AH16" i="1"/>
  <c r="AC16" i="1"/>
  <c r="AB16" i="1"/>
  <c r="O16" i="1"/>
  <c r="AQ16" i="1" s="1"/>
  <c r="N16" i="1"/>
  <c r="AP16" i="1" s="1"/>
  <c r="AO15" i="1"/>
  <c r="AN15" i="1"/>
  <c r="AI15" i="1"/>
  <c r="AH15" i="1"/>
  <c r="AC15" i="1"/>
  <c r="AB15" i="1"/>
  <c r="O15" i="1"/>
  <c r="N15" i="1"/>
  <c r="AP15" i="1" s="1"/>
  <c r="AO14" i="1"/>
  <c r="AN14" i="1"/>
  <c r="AI14" i="1"/>
  <c r="AH14" i="1"/>
  <c r="AC14" i="1"/>
  <c r="AB14" i="1"/>
  <c r="O14" i="1"/>
  <c r="AQ14" i="1" s="1"/>
  <c r="N14" i="1"/>
  <c r="AP14" i="1" s="1"/>
  <c r="AO13" i="1"/>
  <c r="AN13" i="1"/>
  <c r="AI13" i="1"/>
  <c r="AH13" i="1"/>
  <c r="AC13" i="1"/>
  <c r="AQ13" i="1" s="1"/>
  <c r="AB13" i="1"/>
  <c r="O13" i="1"/>
  <c r="N13" i="1"/>
  <c r="AO12" i="1"/>
  <c r="AN12" i="1"/>
  <c r="AI12" i="1"/>
  <c r="AH12" i="1"/>
  <c r="AC12" i="1"/>
  <c r="AB12" i="1"/>
  <c r="O12" i="1"/>
  <c r="AQ12" i="1" s="1"/>
  <c r="N12" i="1"/>
  <c r="AP12" i="1" s="1"/>
  <c r="AO11" i="1"/>
  <c r="AN11" i="1"/>
  <c r="AI11" i="1"/>
  <c r="AH11" i="1"/>
  <c r="AC11" i="1"/>
  <c r="AB11" i="1"/>
  <c r="O11" i="1"/>
  <c r="AQ11" i="1" s="1"/>
  <c r="N11" i="1"/>
  <c r="AO10" i="1"/>
  <c r="AQ10" i="1" s="1"/>
  <c r="AN10" i="1"/>
  <c r="AI10" i="1"/>
  <c r="AH10" i="1"/>
  <c r="AC10" i="1"/>
  <c r="AB10" i="1"/>
  <c r="O10" i="1"/>
  <c r="N10" i="1"/>
  <c r="AP10" i="1" s="1"/>
  <c r="AO9" i="1"/>
  <c r="AQ9" i="1" s="1"/>
  <c r="AN9" i="1"/>
  <c r="AI9" i="1"/>
  <c r="AH9" i="1"/>
  <c r="AC9" i="1"/>
  <c r="AB9" i="1"/>
  <c r="O9" i="1"/>
  <c r="N9" i="1"/>
  <c r="AP9" i="1" s="1"/>
  <c r="AO8" i="1"/>
  <c r="AN8" i="1"/>
  <c r="AI8" i="1"/>
  <c r="AH8" i="1"/>
  <c r="AC8" i="1"/>
  <c r="AB8" i="1"/>
  <c r="O8" i="1"/>
  <c r="AQ8" i="1" s="1"/>
  <c r="N8" i="1"/>
  <c r="AP8" i="1" s="1"/>
  <c r="AO7" i="1"/>
  <c r="AN7" i="1"/>
  <c r="AI7" i="1"/>
  <c r="AH7" i="1"/>
  <c r="AC7" i="1"/>
  <c r="AB7" i="1"/>
  <c r="O7" i="1"/>
  <c r="AQ7" i="1" s="1"/>
  <c r="N7" i="1"/>
  <c r="AO6" i="1"/>
  <c r="AN6" i="1"/>
  <c r="AI6" i="1"/>
  <c r="AH6" i="1"/>
  <c r="AC6" i="1"/>
  <c r="AB6" i="1"/>
  <c r="O6" i="1"/>
  <c r="AQ6" i="1" s="1"/>
  <c r="N6" i="1"/>
  <c r="AP6" i="1" s="1"/>
  <c r="AO5" i="1"/>
  <c r="AN5" i="1"/>
  <c r="AI5" i="1"/>
  <c r="AH5" i="1"/>
  <c r="AC5" i="1"/>
  <c r="AB5" i="1"/>
  <c r="O5" i="1"/>
  <c r="AQ5" i="1" s="1"/>
  <c r="N5" i="1"/>
  <c r="AO4" i="1"/>
  <c r="AN4" i="1"/>
  <c r="AI4" i="1"/>
  <c r="AH4" i="1"/>
  <c r="AC4" i="1"/>
  <c r="AB4" i="1"/>
  <c r="O4" i="1"/>
  <c r="AQ4" i="1" s="1"/>
  <c r="N4" i="1"/>
  <c r="AP4" i="1" s="1"/>
  <c r="AO3" i="1"/>
  <c r="AN3" i="1"/>
  <c r="AI3" i="1"/>
  <c r="AH3" i="1"/>
  <c r="AC3" i="1"/>
  <c r="AB3" i="1"/>
  <c r="O3" i="1"/>
  <c r="N3" i="1"/>
  <c r="AP13" i="1" l="1"/>
  <c r="AP19" i="1"/>
  <c r="AQ31" i="1"/>
  <c r="AP54" i="1"/>
  <c r="AQ71" i="1"/>
  <c r="AP72" i="1"/>
  <c r="AP89" i="1"/>
  <c r="AP97" i="1"/>
  <c r="AP7" i="1"/>
  <c r="AQ19" i="1"/>
  <c r="AQ33" i="1"/>
  <c r="AP41" i="1"/>
  <c r="AP48" i="1"/>
  <c r="AQ54" i="1"/>
  <c r="AQ55" i="1"/>
  <c r="AP56" i="1"/>
  <c r="AQ63" i="1"/>
  <c r="AP64" i="1"/>
  <c r="AP73" i="1"/>
  <c r="AP81" i="1"/>
  <c r="AQ97" i="1"/>
  <c r="AP115" i="1"/>
  <c r="AP116" i="1"/>
  <c r="AQ118" i="1"/>
  <c r="AP169" i="1"/>
  <c r="AQ196" i="1"/>
  <c r="AP107" i="1"/>
  <c r="AQ115" i="1"/>
  <c r="AQ166" i="1"/>
  <c r="AQ27" i="1"/>
  <c r="AQ108" i="1"/>
  <c r="AQ148" i="1"/>
  <c r="AP175" i="1"/>
  <c r="AP3" i="1"/>
  <c r="AQ15" i="1"/>
  <c r="AP29" i="1"/>
  <c r="AQ35" i="1"/>
  <c r="AQ40" i="1"/>
  <c r="AP67" i="1"/>
  <c r="AP68" i="1"/>
  <c r="AP75" i="1"/>
  <c r="AQ83" i="1"/>
  <c r="AQ92" i="1"/>
  <c r="AP110" i="1"/>
  <c r="AP119" i="1"/>
  <c r="AQ153" i="1"/>
  <c r="AP155" i="1"/>
  <c r="AQ174" i="1"/>
  <c r="AQ3" i="1"/>
  <c r="AP17" i="1"/>
  <c r="AP23" i="1"/>
  <c r="AQ51" i="1"/>
  <c r="AP59" i="1"/>
  <c r="AP94" i="1"/>
  <c r="AP102" i="1"/>
  <c r="AQ134" i="1"/>
  <c r="AQ137" i="1"/>
  <c r="AP44" i="1"/>
  <c r="AP52" i="1"/>
  <c r="AQ67" i="1"/>
  <c r="AQ157" i="1"/>
  <c r="AP5" i="1"/>
  <c r="AP11" i="1"/>
  <c r="AQ23" i="1"/>
  <c r="AP38" i="1"/>
  <c r="AP45" i="1"/>
  <c r="AQ60" i="1"/>
  <c r="AP78" i="1"/>
  <c r="AP86" i="1"/>
  <c r="AQ102" i="1"/>
  <c r="AQ103" i="1"/>
  <c r="AP104" i="1"/>
  <c r="AQ111" i="1"/>
  <c r="AP112" i="1"/>
  <c r="AQ121" i="1"/>
  <c r="AP122" i="1"/>
  <c r="AP123" i="1"/>
  <c r="AQ139" i="1"/>
  <c r="AQ127" i="1"/>
  <c r="AP128" i="1"/>
  <c r="AP134" i="1"/>
  <c r="AQ159" i="1"/>
  <c r="AP160" i="1"/>
  <c r="AP166" i="1"/>
  <c r="AQ181" i="1"/>
  <c r="AP194" i="1"/>
  <c r="AQ205" i="1"/>
  <c r="AQ207" i="1"/>
  <c r="AP208" i="1"/>
  <c r="AQ221" i="1"/>
  <c r="AQ223" i="1"/>
  <c r="AP224" i="1"/>
  <c r="AQ237" i="1"/>
  <c r="AQ239" i="1"/>
  <c r="AP240" i="1"/>
  <c r="AQ253" i="1"/>
  <c r="AQ255" i="1"/>
  <c r="AP256" i="1"/>
  <c r="AQ269" i="1"/>
  <c r="AQ271" i="1"/>
  <c r="AP272" i="1"/>
  <c r="AQ285" i="1"/>
  <c r="AQ287" i="1"/>
  <c r="AP288" i="1"/>
  <c r="AQ301" i="1"/>
  <c r="AQ303" i="1"/>
  <c r="AP304" i="1"/>
  <c r="AQ321" i="1"/>
  <c r="AQ323" i="1"/>
  <c r="AQ353" i="1"/>
  <c r="AQ355" i="1"/>
  <c r="AQ147" i="1"/>
  <c r="AP148" i="1"/>
  <c r="AP154" i="1"/>
  <c r="AQ173" i="1"/>
  <c r="AP174" i="1"/>
  <c r="AQ183" i="1"/>
  <c r="AP184" i="1"/>
  <c r="AQ193" i="1"/>
  <c r="AP210" i="1"/>
  <c r="AQ325" i="1"/>
  <c r="AQ357" i="1"/>
  <c r="AQ135" i="1"/>
  <c r="AQ167" i="1"/>
  <c r="AP185" i="1"/>
  <c r="AQ210" i="1"/>
  <c r="AQ226" i="1"/>
  <c r="AQ242" i="1"/>
  <c r="AQ258" i="1"/>
  <c r="AQ274" i="1"/>
  <c r="AQ290" i="1"/>
  <c r="AQ306" i="1"/>
  <c r="AQ330" i="1"/>
  <c r="AQ362" i="1"/>
  <c r="AP229" i="1"/>
  <c r="AP245" i="1"/>
  <c r="AP261" i="1"/>
  <c r="AP277" i="1"/>
  <c r="AP293" i="1"/>
  <c r="AP309" i="1"/>
  <c r="AQ333" i="1"/>
  <c r="AQ334" i="1"/>
  <c r="AQ365" i="1"/>
  <c r="AQ366" i="1"/>
  <c r="AQ155" i="1"/>
  <c r="AP197" i="1"/>
  <c r="AP40" i="1"/>
  <c r="AP118" i="1"/>
  <c r="AQ143" i="1"/>
  <c r="AP144" i="1"/>
  <c r="AP150" i="1"/>
  <c r="AP178" i="1"/>
  <c r="AQ187" i="1"/>
  <c r="AP188" i="1"/>
  <c r="AQ197" i="1"/>
  <c r="AQ198" i="1"/>
  <c r="AQ199" i="1"/>
  <c r="AP200" i="1"/>
  <c r="AQ213" i="1"/>
  <c r="AQ214" i="1"/>
  <c r="AQ215" i="1"/>
  <c r="AP216" i="1"/>
  <c r="AQ229" i="1"/>
  <c r="AQ230" i="1"/>
  <c r="AQ231" i="1"/>
  <c r="AP232" i="1"/>
  <c r="AQ245" i="1"/>
  <c r="AQ246" i="1"/>
  <c r="AQ247" i="1"/>
  <c r="AP248" i="1"/>
  <c r="AQ261" i="1"/>
  <c r="AQ262" i="1"/>
  <c r="AQ263" i="1"/>
  <c r="AP264" i="1"/>
  <c r="AQ277" i="1"/>
  <c r="AQ278" i="1"/>
  <c r="AQ279" i="1"/>
  <c r="AP280" i="1"/>
  <c r="AQ293" i="1"/>
  <c r="AQ294" i="1"/>
  <c r="AQ295" i="1"/>
  <c r="AP296" i="1"/>
  <c r="AQ309" i="1"/>
  <c r="AQ310" i="1"/>
  <c r="AQ311" i="1"/>
  <c r="AP312" i="1"/>
  <c r="AQ337" i="1"/>
  <c r="AQ338" i="1"/>
  <c r="AQ339" i="1"/>
  <c r="AP213" i="1"/>
  <c r="AP36" i="1"/>
  <c r="AQ59" i="1"/>
  <c r="AP60" i="1"/>
  <c r="AQ75" i="1"/>
  <c r="AP76" i="1"/>
  <c r="AQ91" i="1"/>
  <c r="AP92" i="1"/>
  <c r="AQ107" i="1"/>
  <c r="AP108" i="1"/>
  <c r="AQ131" i="1"/>
  <c r="AP132" i="1"/>
  <c r="AP138" i="1"/>
  <c r="AQ163" i="1"/>
  <c r="AP164" i="1"/>
  <c r="AP170" i="1"/>
  <c r="AQ177" i="1"/>
  <c r="AP189" i="1"/>
  <c r="AP190" i="1"/>
  <c r="AP201" i="1"/>
  <c r="AP202" i="1"/>
  <c r="AP217" i="1"/>
  <c r="AP218" i="1"/>
  <c r="AP233" i="1"/>
  <c r="AP234" i="1"/>
  <c r="AP249" i="1"/>
  <c r="AP250" i="1"/>
  <c r="AP265" i="1"/>
  <c r="AP266" i="1"/>
  <c r="AP281" i="1"/>
  <c r="AP282" i="1"/>
  <c r="AP297" i="1"/>
  <c r="AP298" i="1"/>
  <c r="AP313" i="1"/>
  <c r="AP314" i="1"/>
  <c r="AQ341" i="1"/>
  <c r="AQ342" i="1"/>
  <c r="AQ343" i="1"/>
</calcChain>
</file>

<file path=xl/sharedStrings.xml><?xml version="1.0" encoding="utf-8"?>
<sst xmlns="http://schemas.openxmlformats.org/spreadsheetml/2006/main" count="7424" uniqueCount="593">
  <si>
    <t>Coppa Front Bar</t>
  </si>
  <si>
    <t>Coppa Cellar</t>
  </si>
  <si>
    <t>Coppa Corridor</t>
  </si>
  <si>
    <t>Coppa Cage</t>
  </si>
  <si>
    <t>Sub Totals</t>
  </si>
  <si>
    <t>Events Front Bar</t>
  </si>
  <si>
    <t>Events Cellar</t>
  </si>
  <si>
    <t>Events Cage</t>
  </si>
  <si>
    <t>Events Back Room</t>
  </si>
  <si>
    <t>Events Pantry</t>
  </si>
  <si>
    <t>Events Blue Cupboard</t>
  </si>
  <si>
    <t>Cafe Front Bar</t>
  </si>
  <si>
    <t>Room 1</t>
  </si>
  <si>
    <t>Lobster Front Bar</t>
  </si>
  <si>
    <t>Lobster Shed</t>
  </si>
  <si>
    <t>Totals</t>
  </si>
  <si>
    <t>Stock Type</t>
  </si>
  <si>
    <t>Category</t>
  </si>
  <si>
    <t>Sub Category</t>
  </si>
  <si>
    <t>Pack Volume</t>
  </si>
  <si>
    <t xml:space="preserve">Brand </t>
  </si>
  <si>
    <t>Fulls</t>
  </si>
  <si>
    <t>Singles</t>
  </si>
  <si>
    <t>Alcoholic bottles/ cans</t>
  </si>
  <si>
    <t>Beer - Bottle/Can</t>
  </si>
  <si>
    <t>24 x 330 ml [24]</t>
  </si>
  <si>
    <t>Asahi Lager - 5.00% - .</t>
  </si>
  <si>
    <t>8 x 330 ml [8]</t>
  </si>
  <si>
    <t>Aspal Cyder</t>
  </si>
  <si>
    <t>24 x 33 cl [24]</t>
  </si>
  <si>
    <t>Brixton Reliance - Pale Ale</t>
  </si>
  <si>
    <t>24 x 558 ml [24]</t>
  </si>
  <si>
    <t>Guinness Beer - 4.2% - Microdraught</t>
  </si>
  <si>
    <t>24 x 538 ml [24]</t>
  </si>
  <si>
    <t>Guinness Stout - 0% - Zero</t>
  </si>
  <si>
    <t>Peroni Lager - 0% - Nastro Azzuro</t>
  </si>
  <si>
    <t>Peroni Lager - Gluten Free - Nastro Azzuro</t>
  </si>
  <si>
    <t>8 x 500 ml [8]</t>
  </si>
  <si>
    <t>Renegade Brewery Best Bitter - Good Old Boy - NRB</t>
  </si>
  <si>
    <t xml:space="preserve"> </t>
  </si>
  <si>
    <t>Beer &amp; Ale</t>
  </si>
  <si>
    <t>12 x 500 ml [12]</t>
  </si>
  <si>
    <t>BumbleBee Hard Cider 4.5%</t>
  </si>
  <si>
    <t>Cider - Bottle/Can</t>
  </si>
  <si>
    <t>15 x 500 ml [15]</t>
  </si>
  <si>
    <t>Rekorderlig Swedish - Strawberry &amp;amp; Lime Cider - 4.50% - NRB</t>
  </si>
  <si>
    <t>Sheppy's Cider - 200 Special Edition - 5%</t>
  </si>
  <si>
    <t>Cocktail mixes</t>
  </si>
  <si>
    <t>Cocktail Mixes</t>
  </si>
  <si>
    <t>1 x 15 cl [1]</t>
  </si>
  <si>
    <t>Fee Brothers Aztec Chocolate Bitters</t>
  </si>
  <si>
    <t>6 x 1 ltr [6]</t>
  </si>
  <si>
    <t>Icely Done Cocktail Blend - Spiced Cranberry &amp;amp; Clementine</t>
  </si>
  <si>
    <t>1 x 70cl [1]</t>
  </si>
  <si>
    <t>Monin Syrup - Strawberry</t>
  </si>
  <si>
    <t>Premixed Drinks</t>
  </si>
  <si>
    <t>24 x 250 ml [24]</t>
  </si>
  <si>
    <t>Big Tom Tomato Juice</t>
  </si>
  <si>
    <t>12 x 250 ml [12]</t>
  </si>
  <si>
    <t>Punchy Blood Orange</t>
  </si>
  <si>
    <t>Punchy Cucumber</t>
  </si>
  <si>
    <t>Squash &amp; Cordial</t>
  </si>
  <si>
    <t>1 x 500 ml [1]</t>
  </si>
  <si>
    <t>Bottlegreen Elderflower</t>
  </si>
  <si>
    <t>Cordial - Mango &amp; Passionfruit</t>
  </si>
  <si>
    <t>Cordial - Rhubarb &amp; Strawberry</t>
  </si>
  <si>
    <t>Passion Fruit &amp; Vanilla Sorbet - Cordial</t>
  </si>
  <si>
    <t>1 x 1 ltr [1]</t>
  </si>
  <si>
    <t>Schweppes Blackcurrant - NRB</t>
  </si>
  <si>
    <t>Schweppes Lime Cordial</t>
  </si>
  <si>
    <t>Syrups</t>
  </si>
  <si>
    <t>Monin Gomme Syrup</t>
  </si>
  <si>
    <t>1 x 70 cl [1]</t>
  </si>
  <si>
    <t>Monin Honey - Syrup</t>
  </si>
  <si>
    <t>Monin Pina Colada Syrup</t>
  </si>
  <si>
    <t>Monin Spritz - Orange</t>
  </si>
  <si>
    <t>Monin Sugar Syrup - Muscovado</t>
  </si>
  <si>
    <t>Monin Syrup - Almond</t>
  </si>
  <si>
    <t>Monin Syrup - Caramel</t>
  </si>
  <si>
    <t>Monin Syrup - Chai Tea</t>
  </si>
  <si>
    <t>1 x 70 cl  [1]</t>
  </si>
  <si>
    <t>Monin Syrup - Cinnamon</t>
  </si>
  <si>
    <t>1 x 100 cl [1]</t>
  </si>
  <si>
    <t>Monin Syrup - Creme Brulee</t>
  </si>
  <si>
    <t>Monin Syrup - Gingerbread</t>
  </si>
  <si>
    <t>Monin Syrup - Green Mint</t>
  </si>
  <si>
    <t>Monin Syrup - Hazelnut</t>
  </si>
  <si>
    <t>Monin Syrup - Peach</t>
  </si>
  <si>
    <t>Monin Syrup - Pear</t>
  </si>
  <si>
    <t>Monin Syrup - Pink Grapefruit</t>
  </si>
  <si>
    <t>Monin Syrup - Red Berry</t>
  </si>
  <si>
    <t>Monin Syrup - Vanilla</t>
  </si>
  <si>
    <t>6 x 1ltr [6]</t>
  </si>
  <si>
    <t>Tangled Roots</t>
  </si>
  <si>
    <t>Draught</t>
  </si>
  <si>
    <t>Beer - Draught</t>
  </si>
  <si>
    <t>6.6 x 1 gal [6.6]</t>
  </si>
  <si>
    <t>Beavertown Beer - 4.3% - Neck Oil</t>
  </si>
  <si>
    <t>1 x 11 x gal (50ltr) [11]</t>
  </si>
  <si>
    <t>Guinness Stout - 4.10% - Red Band - Draught</t>
  </si>
  <si>
    <t>6.6 x 1 Gallon [6.6]</t>
  </si>
  <si>
    <t>Guinness Stout - Blackguard</t>
  </si>
  <si>
    <t>11 x 1 gal</t>
  </si>
  <si>
    <t>lime</t>
  </si>
  <si>
    <t>4.4 x 1 gal [4.4]</t>
  </si>
  <si>
    <t>Hoegaarden Beer - Keg</t>
  </si>
  <si>
    <t>Peroni Draught Beer : 5.10%</t>
  </si>
  <si>
    <t>6.6 x 1 gal (30 ltr)</t>
  </si>
  <si>
    <t>PERONI LAGER 30L KEG</t>
  </si>
  <si>
    <t>11 x 1 Gallon [11]</t>
  </si>
  <si>
    <t>Renegade Craft Lager - 4.1%</t>
  </si>
  <si>
    <t>Tiny Rebel Easy Livin' : Session Ale : Pale : Keg</t>
  </si>
  <si>
    <t>9 x 1 Gallon [9]</t>
  </si>
  <si>
    <t>West Berkshire Brewery Bitter - Good Old Boy</t>
  </si>
  <si>
    <t>11 x 1 gal [11]</t>
  </si>
  <si>
    <t>Beer - Birra Moretti - Draught</t>
  </si>
  <si>
    <t>Cider - Draft</t>
  </si>
  <si>
    <t>Aspall Cyder - Orange Cap</t>
  </si>
  <si>
    <t>Pimms</t>
  </si>
  <si>
    <t>1 x 11gal (50ltr) [11]</t>
  </si>
  <si>
    <t>Pimms Pimms - 5.4%</t>
  </si>
  <si>
    <t>Fruit &amp; Hebs</t>
  </si>
  <si>
    <t>Fruit</t>
  </si>
  <si>
    <t>1 x 1 each [1]</t>
  </si>
  <si>
    <t>Cucumber - Large</t>
  </si>
  <si>
    <t>1 each [1]</t>
  </si>
  <si>
    <t>LEMONS - ***Lemons to be counted on this line***</t>
  </si>
  <si>
    <t>1 x 1 kg [1]</t>
  </si>
  <si>
    <t>Lime</t>
  </si>
  <si>
    <t>4 x 1 each [4]</t>
  </si>
  <si>
    <t>Orange - Large</t>
  </si>
  <si>
    <t>48 x 1 each [48]</t>
  </si>
  <si>
    <t>Passionfruit</t>
  </si>
  <si>
    <t>1 x 125g [1]</t>
  </si>
  <si>
    <t>Raspberries</t>
  </si>
  <si>
    <t>1 x 400 g [1]</t>
  </si>
  <si>
    <t>Strawberries</t>
  </si>
  <si>
    <t>Herbs</t>
  </si>
  <si>
    <t>1 x 100g [1]</t>
  </si>
  <si>
    <t>Mint</t>
  </si>
  <si>
    <t>1 x 100 g [1]</t>
  </si>
  <si>
    <t>Rosemary</t>
  </si>
  <si>
    <t>Hot drinks</t>
  </si>
  <si>
    <t>Coffee - Beans</t>
  </si>
  <si>
    <t>10 x 1 kg [10]</t>
  </si>
  <si>
    <t>Beans - Musetti 202</t>
  </si>
  <si>
    <t>Musetti Coffee Beans - DEK (Decaf)</t>
  </si>
  <si>
    <t>Coffee - Filter</t>
  </si>
  <si>
    <t>100 x 85 g [100]</t>
  </si>
  <si>
    <t>202 - Filter Coffee</t>
  </si>
  <si>
    <t>24 x 250 g [24]</t>
  </si>
  <si>
    <t>Musetti Dek Tin - Espresso</t>
  </si>
  <si>
    <t>Musetti Dek Tins - Filter Coffee</t>
  </si>
  <si>
    <t>Hot chocolate</t>
  </si>
  <si>
    <t>6 x 50 x 1 each [300]</t>
  </si>
  <si>
    <t>Musetti - Choc-issimo - Sachets</t>
  </si>
  <si>
    <t>Tea - Speciality</t>
  </si>
  <si>
    <t>6 x 20 each [6]</t>
  </si>
  <si>
    <t>Earl Grey</t>
  </si>
  <si>
    <t>6 x 20 x 1 each [120]</t>
  </si>
  <si>
    <t>Harneys Green Tea with Citrus - Organic - Silk Bag</t>
  </si>
  <si>
    <t>6 x 20 x 1 Box [120]</t>
  </si>
  <si>
    <t>Harneys Hot Cinnamon Spice - Tea Bags</t>
  </si>
  <si>
    <t>Harneys Premium Darjeeling</t>
  </si>
  <si>
    <t>Harneys Premium Decaffeinated Ceylon</t>
  </si>
  <si>
    <t>Harneys Premium Egyptian Chamomile</t>
  </si>
  <si>
    <t>Harneys Premium English Breakfast</t>
  </si>
  <si>
    <t>Harneys Premium Red Raspberry</t>
  </si>
  <si>
    <t>6 x 20 x 1 pack [120]</t>
  </si>
  <si>
    <t>Japanese  Sencha - Japanese Sencha</t>
  </si>
  <si>
    <t>1 x 500 g  [1]</t>
  </si>
  <si>
    <t>Matcha Green Tea Powder</t>
  </si>
  <si>
    <t>Peppermint Tea</t>
  </si>
  <si>
    <t>PREM ENGLISH BREAKFAST 6X20</t>
  </si>
  <si>
    <t>Low/No alcohol</t>
  </si>
  <si>
    <t>Juices and Health Drinks</t>
  </si>
  <si>
    <t>Trip CBD Infused Drink w/ Adaptogens - Peach &amp; Ginger</t>
  </si>
  <si>
    <t>Liqueurs &amp; Other</t>
  </si>
  <si>
    <t>24 x 175 ml [24]</t>
  </si>
  <si>
    <t>Crodino Aperitivo - 0% - 1965</t>
  </si>
  <si>
    <t>Milks</t>
  </si>
  <si>
    <t>Fresh Milk (Chilled)</t>
  </si>
  <si>
    <t>4 x 2 ltr [4]</t>
  </si>
  <si>
    <t>Milk Semi Skimmed - Red Tractor</t>
  </si>
  <si>
    <t>4 x 2ltr [4]</t>
  </si>
  <si>
    <t>Milk Skimmed</t>
  </si>
  <si>
    <t>Milk Whole</t>
  </si>
  <si>
    <t>Milk Drinks</t>
  </si>
  <si>
    <t>12 x 1 ltr [12]</t>
  </si>
  <si>
    <t>Alpro - Milk Soya</t>
  </si>
  <si>
    <t>8 x 1 ltr [8]</t>
  </si>
  <si>
    <t>Alpro Almond Milk - Unsweetened</t>
  </si>
  <si>
    <t>OATLY Foamable</t>
  </si>
  <si>
    <t>Soft Drinks</t>
  </si>
  <si>
    <t>Carbonated Drinks</t>
  </si>
  <si>
    <t>24 x 200 ml [24]</t>
  </si>
  <si>
    <t>Coca Cola Coca Cola</t>
  </si>
  <si>
    <t>1 x 24 x 330ml [24]</t>
  </si>
  <si>
    <t>Coca Cola Coca Cola - Can</t>
  </si>
  <si>
    <t>Coca Cola Coca Cola - NRB</t>
  </si>
  <si>
    <t>Coca Cola Diet Coca Cola</t>
  </si>
  <si>
    <t>Coca Cola Diet Coke - Can</t>
  </si>
  <si>
    <t>Coca Cola Icon Glass - Diet Coke - NRB</t>
  </si>
  <si>
    <t>Coke Zero Coca Cola - Can</t>
  </si>
  <si>
    <t>12 x 275 ml [12]</t>
  </si>
  <si>
    <t>Fever Tree Cloudy Apple - Sparkling</t>
  </si>
  <si>
    <t>Fever Tree Cucumber Tonic Water - Light</t>
  </si>
  <si>
    <t>Fever Tree Elderflower - Carbonated</t>
  </si>
  <si>
    <t>Fever Tree Ginger Ale - NRB</t>
  </si>
  <si>
    <t>Fever Tree Ginger Beer</t>
  </si>
  <si>
    <t>Fever Tree Ginger Beer - Sparkling</t>
  </si>
  <si>
    <t>Fever Tree Indian Tonic Water</t>
  </si>
  <si>
    <t>Fever Tree Lemonade - Clear</t>
  </si>
  <si>
    <t>Fever Tree Mediterranean - Tonic</t>
  </si>
  <si>
    <t>24 x 20 cl [24]</t>
  </si>
  <si>
    <t>Fever Tree Naturally Light - Tonic Water</t>
  </si>
  <si>
    <t>Fever Tree Raspberry Lemonade</t>
  </si>
  <si>
    <t>Fever Tree Sicilian Lemonade</t>
  </si>
  <si>
    <t>23 x 200 ml [24]</t>
  </si>
  <si>
    <t>Fever Tree Soda</t>
  </si>
  <si>
    <t>Fever Tree Soda - Mexican Lime</t>
  </si>
  <si>
    <t>Fever Tree Soda - Pink Grapefruit</t>
  </si>
  <si>
    <t>1 x 2L</t>
  </si>
  <si>
    <t>R Whites</t>
  </si>
  <si>
    <t>san pellegrino blood orange - can</t>
  </si>
  <si>
    <t>San Pellegrino Limonata - Can</t>
  </si>
  <si>
    <t>Sprite Sprite Zero - Can</t>
  </si>
  <si>
    <t>POMEGRANATE &amp; SPICED PEAR COCKTAIL BLENDS 6 X 1L</t>
  </si>
  <si>
    <t>Energy</t>
  </si>
  <si>
    <t>Red Bull Red Bull - Cans</t>
  </si>
  <si>
    <t>Fruit Drinks / Water</t>
  </si>
  <si>
    <t>6 x 3 x 200 ml [18]</t>
  </si>
  <si>
    <t>Cawston Press Apple &amp; Summer Berries</t>
  </si>
  <si>
    <t>Fruit Juice</t>
  </si>
  <si>
    <t>Cawston Press Apple &amp;amp; Pear - Kids Juice</t>
  </si>
  <si>
    <t>Cawston Press Pineapple - Sweet</t>
  </si>
  <si>
    <t>Eager Juices Apple Juice</t>
  </si>
  <si>
    <t>Eager Juices Cranberry Juice</t>
  </si>
  <si>
    <t>Eager Juices Orange Juice</t>
  </si>
  <si>
    <t>Eager Juices Pineapple 1.5L</t>
  </si>
  <si>
    <t>8 x 1.5 ltr [8]</t>
  </si>
  <si>
    <t>Eager Pineapple Juice 1L</t>
  </si>
  <si>
    <t>Eager Tomato Juice</t>
  </si>
  <si>
    <t>Lemon Juice - HPP</t>
  </si>
  <si>
    <t>Lime Juice - HPP</t>
  </si>
  <si>
    <t>12 x 1ltr [12]</t>
  </si>
  <si>
    <t>Ocean Spray Pink Cranberry Juice</t>
  </si>
  <si>
    <t>2 x 2.27 ltr [2]</t>
  </si>
  <si>
    <t>Orange Juice - Pasturised</t>
  </si>
  <si>
    <t>6 x 250 ml [6]</t>
  </si>
  <si>
    <t>PRESS Lean Green</t>
  </si>
  <si>
    <t>Eager Pink Grapefruit - Fruit Juice</t>
  </si>
  <si>
    <t>6 x 1 each [6]</t>
  </si>
  <si>
    <t>PRESS Berry Boost 250ml</t>
  </si>
  <si>
    <t>PRESS Golden Glow Smoothie</t>
  </si>
  <si>
    <t>PRESS Raw Smoothie - Triple Berry</t>
  </si>
  <si>
    <t>Post Mix</t>
  </si>
  <si>
    <t>1 x 10 ltr [10]</t>
  </si>
  <si>
    <t>Coppa - Lemonade - BIB</t>
  </si>
  <si>
    <t>1 x 7ltr [7]</t>
  </si>
  <si>
    <t>Schweppes Lemonade - BIB</t>
  </si>
  <si>
    <t>Water</t>
  </si>
  <si>
    <t>12 x 750 ml [12]</t>
  </si>
  <si>
    <t>Marlish Sparkling Water</t>
  </si>
  <si>
    <t>Marlish Sparkling Water - Glass</t>
  </si>
  <si>
    <t>Marlish Still Water</t>
  </si>
  <si>
    <t>Marlish Still Water - Glass</t>
  </si>
  <si>
    <t>Spirits</t>
  </si>
  <si>
    <t>Vodka</t>
  </si>
  <si>
    <t>Absolut Blue Label - Vodka</t>
  </si>
  <si>
    <t>Sake</t>
  </si>
  <si>
    <t>1 x 50 cl [1]</t>
  </si>
  <si>
    <t>Akashi-Tai Ginjo Sake - Umeshu Plum</t>
  </si>
  <si>
    <t>Ancho Reyes Verde - Liqueur - 40%</t>
  </si>
  <si>
    <t>Bitters</t>
  </si>
  <si>
    <t>1 x 20 cl [1]</t>
  </si>
  <si>
    <t>Angostura Angostura Bitters</t>
  </si>
  <si>
    <t>Aperol Aperitivo - Liqueur</t>
  </si>
  <si>
    <t>Whisky</t>
  </si>
  <si>
    <t>Ardbeg Whisky - 10YO - 46%</t>
  </si>
  <si>
    <t>Baileys Irish Cream - 17.00%</t>
  </si>
  <si>
    <t>Baller Vodka - 40% - Chilli Bacon</t>
  </si>
  <si>
    <t>Balvenie Double Wood - Whisky - 12YO - 40%</t>
  </si>
  <si>
    <t>Gin</t>
  </si>
  <si>
    <t>Beefeater 24 - Gin - 45% - (Super Premium)</t>
  </si>
  <si>
    <t>Beefeater Gin - 40.00%</t>
  </si>
  <si>
    <t>Belle de Brillet - Liqueur</t>
  </si>
  <si>
    <t>Black Cow Milk - Vodka</t>
  </si>
  <si>
    <t>Bombay Sapphire - Gin</t>
  </si>
  <si>
    <t>Bourbon / American Whiskey</t>
  </si>
  <si>
    <t>Bulleit Bourbon - 45% - Rye</t>
  </si>
  <si>
    <t>Bulleit Bourbon - Whiskey - 45%</t>
  </si>
  <si>
    <t>Whiskey</t>
  </si>
  <si>
    <t>70 cl [1]</t>
  </si>
  <si>
    <t>Bushmills</t>
  </si>
  <si>
    <t>Campari Campari Bitter - 25.00%</t>
  </si>
  <si>
    <t>Rum</t>
  </si>
  <si>
    <t>Captain Morgan Spiced Rum - 35.00%</t>
  </si>
  <si>
    <t>Tequila</t>
  </si>
  <si>
    <t>6 x 70cl  [6]</t>
  </si>
  <si>
    <t>Casamigos Blanco - Tequila Silver</t>
  </si>
  <si>
    <t>cachaca</t>
  </si>
  <si>
    <t>Sagatiba Cachaca</t>
  </si>
  <si>
    <t>1 x70 cl [1]</t>
  </si>
  <si>
    <t>Cazcabel - Coffee Liqueur</t>
  </si>
  <si>
    <t>Cazcabel - Honey Liqueur - 34%</t>
  </si>
  <si>
    <t>Cazcabel Blanco</t>
  </si>
  <si>
    <t>Cazcabel Coffee Tequila</t>
  </si>
  <si>
    <t>Cazcabel Reposado Tequila</t>
  </si>
  <si>
    <t>Chambord Chambord - 16.5% - Raspberry Liqueur</t>
  </si>
  <si>
    <t>Chase Gin - 40% - Rhubarb &amp; Bramley Apple</t>
  </si>
  <si>
    <t>1 x 70cl  [1]</t>
  </si>
  <si>
    <t>Chivas Regal - Whisky - 40%</t>
  </si>
  <si>
    <t>Ciroc Passion Fruit Vodka - 40%</t>
  </si>
  <si>
    <t>Ciroc Red Berry Vodka - 40%</t>
  </si>
  <si>
    <t>Ciroc Vodka - 40%</t>
  </si>
  <si>
    <t>Cointreau Cointreau - 40%</t>
  </si>
  <si>
    <t>Brandy</t>
  </si>
  <si>
    <t>Courvoisier VS - Cognac - 40%</t>
  </si>
  <si>
    <t>Courvoisier XO - Cognac - 40%</t>
  </si>
  <si>
    <t>Don Julio Blanco - Tequila</t>
  </si>
  <si>
    <t>Don Julio Tequila - Reposado</t>
  </si>
  <si>
    <t>Don Julio Tequila Gold - 38% - Anejo</t>
  </si>
  <si>
    <t>El Dorado Golden Rum - 40% - 5YO</t>
  </si>
  <si>
    <t>Everleaf Non Alcoholic Spirit - Forest</t>
  </si>
  <si>
    <t>Everleaf Non Alcoholic Spirit - Mountain</t>
  </si>
  <si>
    <t>Frangelico Frangelico - 24.00%</t>
  </si>
  <si>
    <t>Glenfiddich Whisky - 15YO - 40% - Solera Reserve</t>
  </si>
  <si>
    <t>Glenlivet Founders Reserve - Whisky</t>
  </si>
  <si>
    <t>Glenmorangie Whisky - 10YO</t>
  </si>
  <si>
    <t>Glenmorangie Whisky - 10YO - 40%</t>
  </si>
  <si>
    <t>6 x 70cl [6]</t>
  </si>
  <si>
    <t>Goslings Black Seal - Dark Rum - 40%</t>
  </si>
  <si>
    <t>Grand Marnier Grand Marnier - 40%</t>
  </si>
  <si>
    <t>Grey Goose Vodka - 40%</t>
  </si>
  <si>
    <t>Haig Club Whisky - 40%</t>
  </si>
  <si>
    <t>6 x 70 cl  [6]</t>
  </si>
  <si>
    <t>Haig Club Whisky - Clubman - Mediterranean Orange</t>
  </si>
  <si>
    <t>Havana Club Golden Rum - 7YO</t>
  </si>
  <si>
    <t>Havana Club Spiced Rum - Cuban</t>
  </si>
  <si>
    <t>Havana Club White Rum - 40% - 3YO</t>
  </si>
  <si>
    <t>HENDRICKS Flora Adora Gin - 43.4%</t>
  </si>
  <si>
    <t>Hendrick's Gin - 41.4%</t>
  </si>
  <si>
    <t>Hennessy Cognac</t>
  </si>
  <si>
    <t>Hennessy XO - Cognac - 40%</t>
  </si>
  <si>
    <t>Italicus - Liqueur - 20%</t>
  </si>
  <si>
    <t>Jack Daniels Jack Daniels - Whiskey - 40% - Bourbon</t>
  </si>
  <si>
    <t>Jägermeister Jagermeister - 35.00%</t>
  </si>
  <si>
    <t>Imported Whiskey</t>
  </si>
  <si>
    <t>Jameson Whiskey - 40%</t>
  </si>
  <si>
    <t>Janneau Traditional - Armagnac</t>
  </si>
  <si>
    <t>Johnnie Walker Black Label - Whisky - 40%</t>
  </si>
  <si>
    <t>Johnnie Walker Blue Label - Whisky - 40%</t>
  </si>
  <si>
    <t>Jumping Goat Vodka - Coffee Infused</t>
  </si>
  <si>
    <t>Kahlua Coffee Liqueur - 20%</t>
  </si>
  <si>
    <t>Knob Creek Bourbon</t>
  </si>
  <si>
    <t>Koko Kanu Coconut - Rum - 37.50%</t>
  </si>
  <si>
    <t>Laphroaig Whisky - 10YO - 40%</t>
  </si>
  <si>
    <t>Fortified Wine</t>
  </si>
  <si>
    <t>1 x 75 cl [1]</t>
  </si>
  <si>
    <t>Lillet Blanc - 17%</t>
  </si>
  <si>
    <t>Sambuca</t>
  </si>
  <si>
    <t>Luxardo Classic - Sambuca - 38%</t>
  </si>
  <si>
    <t>Luxardo Limoncello</t>
  </si>
  <si>
    <t>Maker's Mark Whiskey - 45%</t>
  </si>
  <si>
    <t>Malfy Con Arancia - Gin - 41%</t>
  </si>
  <si>
    <t>MALFY Gin</t>
  </si>
  <si>
    <t>MALFY Lemon Gin</t>
  </si>
  <si>
    <t>MALFY Rosa Gin</t>
  </si>
  <si>
    <t>6 x 70 cl [6]</t>
  </si>
  <si>
    <t>Maraska - Maraschino - Cherry</t>
  </si>
  <si>
    <t>Martell VS - Cognac - 40%</t>
  </si>
  <si>
    <t>Martin Millers Gin - 40.00%</t>
  </si>
  <si>
    <t>Martini/Vermouth</t>
  </si>
  <si>
    <t>Martini Riserva Especiale - Ambrato</t>
  </si>
  <si>
    <t>Mirabeau Dry Gin - 43% - Rose</t>
  </si>
  <si>
    <t>1 x 50cl [1]</t>
  </si>
  <si>
    <t>Monkey 47 Dry Gin - 47%</t>
  </si>
  <si>
    <t>Monkey Shoulder Whisky</t>
  </si>
  <si>
    <t>1 x 11.8 cl [1]</t>
  </si>
  <si>
    <t>Ms Better's Bitters - Miraculous Foamer - 40%</t>
  </si>
  <si>
    <t>Nectarine Liqueur</t>
  </si>
  <si>
    <t>Nordes - Gin - 40.00%</t>
  </si>
  <si>
    <t>Olmeca Altos Plata - 38%</t>
  </si>
  <si>
    <t>Olmeca Altos Reposado - 38%</t>
  </si>
  <si>
    <t>Passoa Passoa - 17.00%</t>
  </si>
  <si>
    <t>Patron Anejo - Tequila</t>
  </si>
  <si>
    <t>Patron Reposado - Tequila</t>
  </si>
  <si>
    <t>Patron Tequila Silver</t>
  </si>
  <si>
    <t>Pimms No.1 Cup - 25.00%</t>
  </si>
  <si>
    <t>Plymouth Gin - 41.2%</t>
  </si>
  <si>
    <t>Puerto De Indias Strawberry Gin</t>
  </si>
  <si>
    <t>Rémy Martin Remy Martin VSOP - Cognac - 40%</t>
  </si>
  <si>
    <t>Riserva Speciale Rubino - Martini</t>
  </si>
  <si>
    <t>Ron Santiago Anejo Rum - 8YO</t>
  </si>
  <si>
    <t>Sailor Jerry Rum</t>
  </si>
  <si>
    <t>Salcombe - Gin - 44%</t>
  </si>
  <si>
    <t>Saliza Tosolini - Amaretto</t>
  </si>
  <si>
    <t>Santiago de Cuba Extra Anejo - 11YO</t>
  </si>
  <si>
    <t>Sazerac Straight Rye - Whiskey - 45%</t>
  </si>
  <si>
    <t>Silent Pool - Gin - 40%</t>
  </si>
  <si>
    <t>Singleton of Dufftown Whisky - 12YO - 40%</t>
  </si>
  <si>
    <t>Sipsmith Gin - 41.6%</t>
  </si>
  <si>
    <t>Slingsby Gin - 40% - Gooseberry</t>
  </si>
  <si>
    <t>Smirnoff Black - Vodka</t>
  </si>
  <si>
    <t>St Germain Elderflower Liqueur - 20%</t>
  </si>
  <si>
    <t>Talisker Whisky - 10YO - 45.80%</t>
  </si>
  <si>
    <t>Tanqueray Flor De Sevilla</t>
  </si>
  <si>
    <t>Tanqueray Gin - 0%</t>
  </si>
  <si>
    <t>Tanqueray Gin - 43.10%</t>
  </si>
  <si>
    <t>Tanqueray Gin - Blackcurrant Royale</t>
  </si>
  <si>
    <t>Tanqueray No. Ten - Gin - 47.3%</t>
  </si>
  <si>
    <t>Tanqueray Rangpur - Gin - ..</t>
  </si>
  <si>
    <t>2 x 70 cl [1]</t>
  </si>
  <si>
    <t>Tequila Rose</t>
  </si>
  <si>
    <t>titos</t>
  </si>
  <si>
    <t>Verde Momento Mezcal - 42%</t>
  </si>
  <si>
    <t>Warner Edwards Harrington - Gin - Rhubarb</t>
  </si>
  <si>
    <t>Woodford Reserve - Whiskey - 43.2%</t>
  </si>
  <si>
    <t>Yering Station, Little Yering, Pinot Noir</t>
  </si>
  <si>
    <t>Sundries</t>
  </si>
  <si>
    <t>Topping</t>
  </si>
  <si>
    <t>6 x 500g [6]</t>
  </si>
  <si>
    <t>Core. Cream Aerosol</t>
  </si>
  <si>
    <t>6 x 500 g [6]</t>
  </si>
  <si>
    <t>Cream Aerosol - UHT</t>
  </si>
  <si>
    <t>8 x 750 g [8]</t>
  </si>
  <si>
    <t>Lotus Biscoff Crumb Topping</t>
  </si>
  <si>
    <t>1 x 1kg [1]</t>
  </si>
  <si>
    <t>Marshmallows - Info- Mini, White</t>
  </si>
  <si>
    <t>Wines</t>
  </si>
  <si>
    <t>Red Wine</t>
  </si>
  <si>
    <t>6 x 75 cl [6]</t>
  </si>
  <si>
    <t>2019 Corino Giovanni di Corino Giuliano Barolo `Arborina`</t>
  </si>
  <si>
    <t>2019 Mitolo `Jester` McLaren Vale Shiraz</t>
  </si>
  <si>
    <t>12 x 75 cl [12]</t>
  </si>
  <si>
    <t>Andeluna 1300 Malbec</t>
  </si>
  <si>
    <t>Barolo  - Patres</t>
  </si>
  <si>
    <t>6 x 75cl [6]</t>
  </si>
  <si>
    <t>Beaujolais Villages  - Domaine de Colonat</t>
  </si>
  <si>
    <t>Bourgogne Pinot Noir - Sylvain Debord</t>
  </si>
  <si>
    <t>Campules 'El Moreno' NV - Bodegas la Purisima</t>
  </si>
  <si>
    <t>1x75cl [1]</t>
  </si>
  <si>
    <t>Chateau du Gravillon  - St Emilion</t>
  </si>
  <si>
    <t>Chateauneuf Du Pape Rouge 'Les Vallons de la Solitude' (organic)</t>
  </si>
  <si>
    <t>1 x 75CL [1]</t>
  </si>
  <si>
    <t>Chianti Classico Riserva PetriVicchiomaggio</t>
  </si>
  <si>
    <t>Chianti Riserva  -Bonacchi</t>
  </si>
  <si>
    <t>Cintila Red- Pegoes</t>
  </si>
  <si>
    <t>Cotes Du Rhone Parallele 45 Rouge  - Paul Jaboulet Aine (organic)</t>
  </si>
  <si>
    <t>Dom des Pourthie Merlot</t>
  </si>
  <si>
    <t>Foundstone Merlot -Berton Vineyards</t>
  </si>
  <si>
    <t>Hazy View Pinotage</t>
  </si>
  <si>
    <t>Hugonell Rioja Reserva</t>
  </si>
  <si>
    <t>Le Campuget Rouge Syrah Viognier- Vdp Du Gard</t>
  </si>
  <si>
    <t>Montepulciano D'Abruzzo  - Feudi D'Albe</t>
  </si>
  <si>
    <t>Mount Langi Ghiran, Victoria, Billi Billi Shiraz</t>
  </si>
  <si>
    <t>Picpus Malbec-Syrah IGP Comte Tolosan  - St Didier Parnac</t>
  </si>
  <si>
    <t>Primitivo Di Manduria -Talo</t>
  </si>
  <si>
    <t>Primitivo IGP Salento -Il Pumo</t>
  </si>
  <si>
    <t>Raymond Collection Cabernet Sauvignon</t>
  </si>
  <si>
    <t>Rockburn Devils Staircase Pinot Noir</t>
  </si>
  <si>
    <t>Sanvigilio Merlot</t>
  </si>
  <si>
    <t>St Amour Paradis Amoureux</t>
  </si>
  <si>
    <t>Tabalí DOM Cabernet Sauvignon, Maipo</t>
  </si>
  <si>
    <t>Gran Reserva Pinot Noir</t>
  </si>
  <si>
    <t>1 X 75 cl [1]</t>
  </si>
  <si>
    <t>Zinfandel, Dry Creek Valley, Peterson Winery</t>
  </si>
  <si>
    <t>Rosé Wine</t>
  </si>
  <si>
    <t>2023 Monrouby Grenache Rose IGP Pays d&amp;#39;Oc</t>
  </si>
  <si>
    <t>Anemone alghero rosato</t>
  </si>
  <si>
    <t>Aumerade Style Rose, Côtes de Provence</t>
  </si>
  <si>
    <t>Chateau Minuty M - Cotes de Provence Rose</t>
  </si>
  <si>
    <t>Chateau Leoube Rose</t>
  </si>
  <si>
    <t>Cintila Rose - Pegoes</t>
  </si>
  <si>
    <t>Domaine de l'Amour Rose 23 La Vidaubanaise 6/75</t>
  </si>
  <si>
    <t>Mirabeau Classic, Cotes de Provence Rose</t>
  </si>
  <si>
    <t>Notorious Pink Rose</t>
  </si>
  <si>
    <t>Novita Pinot Grigio Blush</t>
  </si>
  <si>
    <t>3 x 1.5 ltr [3]</t>
  </si>
  <si>
    <t>Whispering Angel Rose 21 Chateau D'Esclans 3/150</t>
  </si>
  <si>
    <t>Whispering Angel Rose 23 Chateau D'Esclans 6/75</t>
  </si>
  <si>
    <t>Sparkling Wine</t>
  </si>
  <si>
    <t>2019 Rathfinny Wine Estate Classic Cuvee Brut</t>
  </si>
  <si>
    <t>Chapel Down Brut Reserve</t>
  </si>
  <si>
    <t>Chapel Down Rose Reserve</t>
  </si>
  <si>
    <t>Classic Cuvee MV NV Nyetimber 6/75</t>
  </si>
  <si>
    <t>3 x 150 cl [3]</t>
  </si>
  <si>
    <t>Classic Cuvee MV Nyetimber Magnum 3/150</t>
  </si>
  <si>
    <t>Levin 0% Blanc de Blancs - Villa Noria (Organic)</t>
  </si>
  <si>
    <t>Lyre's Sparkling - Low Alcohol - Classico</t>
  </si>
  <si>
    <t>N.V. Prosecco Doc Extra Dry -Canal Grando</t>
  </si>
  <si>
    <t>NV Piper-Heidsieck Rosé Sauvage</t>
  </si>
  <si>
    <t>Rose MV NV Nyetimber 6/75</t>
  </si>
  <si>
    <t>Sacchetto SF Prosecco DOC Rose Brut</t>
  </si>
  <si>
    <t>1 x 1 x 75 CL [1]</t>
  </si>
  <si>
    <t>Sea Change (Alc. Free) Sparkling Brut 0.0% - 75cl Single</t>
  </si>
  <si>
    <t>Taittinger Brut Reserve N.V.</t>
  </si>
  <si>
    <t>1 x 75cl [1]</t>
  </si>
  <si>
    <t>Veuve Clicquot N.V.</t>
  </si>
  <si>
    <t>White Wine</t>
  </si>
  <si>
    <t>2022 `Maximin` Mosel Riesling, Maximin Gru¨nhaus, Maximin, Germany</t>
  </si>
  <si>
    <t>2022 Azevedo Vinho Verde Loureiro/Alvarinho</t>
  </si>
  <si>
    <t>2022 Bodegas Gallegas Sentidino Ri´as Baixas Albarino</t>
  </si>
  <si>
    <t>2022 La Giustiniana `Lugarara` Gavi di Gavi</t>
  </si>
  <si>
    <t>2022 Laroche Chablis 1er Cru `LEssence des Climats`</t>
  </si>
  <si>
    <t>Chablis Er Cru Montmains - Domaine Jean Goulley - Domaine Jean Goulley</t>
  </si>
  <si>
    <t>Chardonnay, Kidnappers Vineyard, Craggy Range</t>
  </si>
  <si>
    <t>Chardonnay, Monterey, Old Stage,</t>
  </si>
  <si>
    <t>Chevanceau Blanc Vermentino- Vin de France</t>
  </si>
  <si>
    <t>Cintila White - Pegoes</t>
  </si>
  <si>
    <t>Cotes Du Rhone Parallele 45 Blanc  - Paul Jaboulet Aine (organic) (white)</t>
  </si>
  <si>
    <t>Gavi Di Gavi  -Fossilli</t>
  </si>
  <si>
    <t>Heritage Viognier- Les Collines du Bourdic</t>
  </si>
  <si>
    <t>Jim Barry Watervale Riesling</t>
  </si>
  <si>
    <t>les Boules</t>
  </si>
  <si>
    <t>Macon-Villages Mont Pele  - Domaine des Chenevie`res</t>
  </si>
  <si>
    <t>Mesta Organic Verdejo- Peninsula (organic)</t>
  </si>
  <si>
    <t>6x75cl [6]</t>
  </si>
  <si>
    <t>Nielson by Byron Santa Barb Chard 6X75</t>
  </si>
  <si>
    <t>Pinot Grigio 'Elfo' Venezie- Sacchetto</t>
  </si>
  <si>
    <t>Pouilly Fuisse 1er Cru Prestige  - Dom Nadine Ferrand</t>
  </si>
  <si>
    <t>Riff Pinot Grigio , Delle Venezie, Veneto DOC  - Alois Lageder</t>
  </si>
  <si>
    <t>Saint Clair Origin Sauvignon Blanc, Marlborough</t>
  </si>
  <si>
    <t>Sancerre Blanc, Domaine Merlin-Cherrier</t>
  </si>
  <si>
    <t>Sancerre Domaine G Millet  - Domaine Gérard Millet</t>
  </si>
  <si>
    <t>Tournee du Sud Picpoul de Pinet</t>
  </si>
  <si>
    <t>Tumbleweed Wild Sauvignon Blanc  - Bruce Jack Wines</t>
  </si>
  <si>
    <t>Wild Garden Chenin Blanc</t>
  </si>
  <si>
    <t>Soave</t>
  </si>
  <si>
    <t>24 x 330ml ml [24]</t>
  </si>
  <si>
    <t>Camden Town Ale</t>
  </si>
  <si>
    <t>Jubel Peach</t>
  </si>
  <si>
    <t>Moatwood Gin</t>
  </si>
  <si>
    <t>No 3 Gin</t>
  </si>
  <si>
    <t>Portobello Road Gin</t>
  </si>
  <si>
    <t>Sarti Rosa Spritz</t>
  </si>
  <si>
    <t>Don papa Baroko</t>
  </si>
  <si>
    <t>El Dorado 15 yr</t>
  </si>
  <si>
    <t>El Dorado 12 yr</t>
  </si>
  <si>
    <t>Ardbeg</t>
  </si>
  <si>
    <t>Southern Comfort</t>
  </si>
  <si>
    <t>Buffalo Trace</t>
  </si>
  <si>
    <t>Renegade Gold</t>
  </si>
  <si>
    <t xml:space="preserve">Hibiki </t>
  </si>
  <si>
    <t>Hawkstone</t>
  </si>
  <si>
    <t>25 x 330 ml [24]</t>
  </si>
  <si>
    <t>Peroni Lager - Gluten Free</t>
  </si>
  <si>
    <t>Birra Moretti Lager - Zero</t>
  </si>
  <si>
    <t>Birra Moretti Lager - 4.60%</t>
  </si>
  <si>
    <t>Hawkstone Lager</t>
  </si>
  <si>
    <t>54 x 1each [54]</t>
  </si>
  <si>
    <t>Chamomile - Tea Bags - Organic</t>
  </si>
  <si>
    <t>Organic - Oat Drink</t>
  </si>
  <si>
    <t>Fever Tree Tonic Water - Soft Drink - NRB</t>
  </si>
  <si>
    <t>Eager Juices Pineapple</t>
  </si>
  <si>
    <t>Eager Pineapple Juice</t>
  </si>
  <si>
    <t>Ocean Spray Cranberry Juice</t>
  </si>
  <si>
    <t>Mixers / Juices</t>
  </si>
  <si>
    <t>Fever Tree Naturally Light - Tonic Water - NRB</t>
  </si>
  <si>
    <t>Prosecco DOC Extra Dry N.V. - Canal Grando</t>
  </si>
  <si>
    <t>1 x 150cl [1]</t>
  </si>
  <si>
    <t>Nyetimber Classic Cuvee NV Magnums</t>
  </si>
  <si>
    <t>Nyetimber Classic Cuvee NV</t>
  </si>
  <si>
    <t>Les Boules Blanc , Vin de France</t>
  </si>
  <si>
    <t>Cotes Du Rhone Parallele 45 Blanc  - Paul Jaboulet Aine (organic)</t>
  </si>
  <si>
    <t>1,1</t>
  </si>
  <si>
    <t>Department</t>
  </si>
  <si>
    <t>Area</t>
  </si>
  <si>
    <t>Product Group</t>
  </si>
  <si>
    <t>Stock Count</t>
  </si>
  <si>
    <t>Bar</t>
  </si>
  <si>
    <t>Beer</t>
  </si>
  <si>
    <t>Wine</t>
  </si>
  <si>
    <t>Coppa</t>
  </si>
  <si>
    <t>Events</t>
  </si>
  <si>
    <t>Main</t>
  </si>
  <si>
    <t>Cafe+Room 1</t>
  </si>
  <si>
    <t>Room</t>
  </si>
  <si>
    <t>Lobster</t>
  </si>
  <si>
    <t>Item Name</t>
  </si>
  <si>
    <t>SKU</t>
  </si>
  <si>
    <t>Renegade Go</t>
  </si>
  <si>
    <t>Hibiki</t>
  </si>
  <si>
    <t>Timestamp</t>
  </si>
  <si>
    <t>Count Date</t>
  </si>
  <si>
    <t>Item</t>
  </si>
  <si>
    <t>Notes</t>
  </si>
  <si>
    <t>Entered By</t>
  </si>
  <si>
    <t>▶ Add to Log</t>
  </si>
  <si>
    <t>⌨ Open Keypad</t>
  </si>
  <si>
    <t>🗓 New Session (Today)</t>
  </si>
  <si>
    <t>🧹 Clear Current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</si>
</sst>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rgb="FF000000"/>
      <name val="Aptos Narrow"/>
    </font>
  </fonts>
  <fills count="3">
    <fill>
      <patternFill patternType="none"/>
    </fill>
    <fill>
      <patternFill patternType="gray125"/>
    </fill>
    <fill>
      <patternFill patternType="solid">
        <fgColor rgb="FFDDEEFF"/>
      </patternFill>
    </fill>
  </fills>
  <borders count="2">
    <border>
      <left/>
      <right/>
      <top/>
      <bottom/>
      <diagonal/>
    </border>
    <border>
      <left style="thin">
        <color rgb="FF7799CC"/>
      </left>
      <right style="thin">
        <color rgb="FF7799CC"/>
      </right>
      <top style="thin">
        <color rgb="FF7799CC"/>
      </top>
      <bottom style="thin">
        <color rgb="FF7799CC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4</xdr:row>
          <xdr:rowOff>12700</xdr:rowOff>
        </xdr:from>
        <xdr:to>
          <xdr:col>5</xdr:col>
          <xdr:colOff>228600</xdr:colOff>
          <xdr:row>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NEW SESSION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371"/>
  <sheetViews>
    <sheetView workbookViewId="0">
      <selection activeCell="O17" sqref="O17"/>
    </sheetView>
  </sheetViews>
  <sheetFormatPr baseColWidth="10" defaultColWidth="8.83203125" defaultRowHeight="15" x14ac:dyDescent="0.2"/>
  <cols>
    <col min="1" max="1" width="11.6640625" customWidth="1"/>
    <col min="2" max="2" width="18.5" customWidth="1"/>
    <col min="3" max="3" width="23.33203125" customWidth="1"/>
    <col min="4" max="4" width="18.1640625" customWidth="1"/>
    <col min="5" max="5" width="57.6640625" customWidth="1"/>
    <col min="6" max="6" width="8.6640625" customWidth="1"/>
    <col min="36" max="37" width="8.6640625" customWidth="1"/>
  </cols>
  <sheetData>
    <row r="1" spans="1:43" x14ac:dyDescent="0.2">
      <c r="F1" t="s">
        <v>0</v>
      </c>
      <c r="H1" t="s">
        <v>1</v>
      </c>
      <c r="J1" t="s">
        <v>2</v>
      </c>
      <c r="L1" t="s">
        <v>3</v>
      </c>
      <c r="N1" t="s">
        <v>4</v>
      </c>
      <c r="P1" t="s">
        <v>5</v>
      </c>
      <c r="R1" t="s">
        <v>6</v>
      </c>
      <c r="T1" t="s">
        <v>7</v>
      </c>
      <c r="V1" t="s">
        <v>8</v>
      </c>
      <c r="X1" t="s">
        <v>9</v>
      </c>
      <c r="Z1" t="s">
        <v>10</v>
      </c>
      <c r="AB1" t="s">
        <v>4</v>
      </c>
      <c r="AD1" t="s">
        <v>11</v>
      </c>
      <c r="AF1" t="s">
        <v>12</v>
      </c>
      <c r="AH1" t="s">
        <v>4</v>
      </c>
      <c r="AJ1" t="s">
        <v>13</v>
      </c>
      <c r="AL1" t="s">
        <v>14</v>
      </c>
      <c r="AN1" t="s">
        <v>4</v>
      </c>
      <c r="AP1" t="s">
        <v>15</v>
      </c>
    </row>
    <row r="2" spans="1:43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21</v>
      </c>
      <c r="I2" t="s">
        <v>22</v>
      </c>
      <c r="J2" t="s">
        <v>21</v>
      </c>
      <c r="K2" t="s">
        <v>22</v>
      </c>
      <c r="L2" t="s">
        <v>21</v>
      </c>
      <c r="M2" t="s">
        <v>22</v>
      </c>
      <c r="N2" t="s">
        <v>21</v>
      </c>
      <c r="O2" t="s">
        <v>22</v>
      </c>
      <c r="P2" t="s">
        <v>21</v>
      </c>
      <c r="Q2" t="s">
        <v>22</v>
      </c>
      <c r="R2" t="s">
        <v>21</v>
      </c>
      <c r="S2" t="s">
        <v>22</v>
      </c>
      <c r="T2" t="s">
        <v>21</v>
      </c>
      <c r="V2" t="s">
        <v>21</v>
      </c>
      <c r="W2" t="s">
        <v>22</v>
      </c>
      <c r="X2" t="s">
        <v>21</v>
      </c>
      <c r="Y2" t="s">
        <v>22</v>
      </c>
      <c r="Z2" t="s">
        <v>21</v>
      </c>
      <c r="AA2" t="s">
        <v>22</v>
      </c>
      <c r="AB2" t="s">
        <v>21</v>
      </c>
      <c r="AC2" t="s">
        <v>22</v>
      </c>
      <c r="AD2" t="s">
        <v>21</v>
      </c>
      <c r="AE2" t="s">
        <v>22</v>
      </c>
      <c r="AF2" t="s">
        <v>21</v>
      </c>
      <c r="AG2" t="s">
        <v>22</v>
      </c>
      <c r="AH2" t="s">
        <v>21</v>
      </c>
      <c r="AI2" t="s">
        <v>22</v>
      </c>
      <c r="AJ2" t="s">
        <v>21</v>
      </c>
      <c r="AK2" t="s">
        <v>22</v>
      </c>
      <c r="AL2" t="s">
        <v>21</v>
      </c>
      <c r="AM2" t="s">
        <v>22</v>
      </c>
      <c r="AN2" t="s">
        <v>21</v>
      </c>
      <c r="AO2" t="s">
        <v>22</v>
      </c>
      <c r="AP2" t="s">
        <v>21</v>
      </c>
      <c r="AQ2" t="s">
        <v>22</v>
      </c>
    </row>
    <row r="3" spans="1:43" x14ac:dyDescent="0.2">
      <c r="A3">
        <v>210734</v>
      </c>
      <c r="B3" t="s">
        <v>23</v>
      </c>
      <c r="C3" t="s">
        <v>24</v>
      </c>
      <c r="D3" t="s">
        <v>25</v>
      </c>
      <c r="E3" t="s">
        <v>26</v>
      </c>
      <c r="G3">
        <v>25</v>
      </c>
      <c r="H3">
        <v>5</v>
      </c>
      <c r="I3">
        <v>6</v>
      </c>
      <c r="N3">
        <f t="shared" ref="N3:N66" si="0">SUM(F3,H3,J3,L3)</f>
        <v>5</v>
      </c>
      <c r="O3">
        <f t="shared" ref="O3:O66" si="1">SUM(G3,I3,K3,M3)</f>
        <v>31</v>
      </c>
      <c r="Q3">
        <v>23</v>
      </c>
      <c r="V3">
        <v>16</v>
      </c>
      <c r="W3">
        <v>13</v>
      </c>
      <c r="AB3">
        <f t="shared" ref="AB3:AB66" si="2">SUM(P3,R3,T3,V3,X3,Z3)</f>
        <v>16</v>
      </c>
      <c r="AC3">
        <f t="shared" ref="AC3:AC66" si="3">SUM(Q3,S3,U3,W3,Y3,AA3)</f>
        <v>36</v>
      </c>
      <c r="AE3">
        <v>18</v>
      </c>
      <c r="AG3">
        <v>8</v>
      </c>
      <c r="AH3">
        <f t="shared" ref="AH3:AH66" si="4">SUM(AD3,AF3)</f>
        <v>0</v>
      </c>
      <c r="AI3">
        <f t="shared" ref="AI3:AI66" si="5">SUM(AE3,AG3)</f>
        <v>26</v>
      </c>
      <c r="AK3">
        <v>49</v>
      </c>
      <c r="AL3">
        <v>5</v>
      </c>
      <c r="AM3">
        <v>2</v>
      </c>
      <c r="AN3">
        <f t="shared" ref="AN3:AN66" si="6">SUM(AJ3,AL3)</f>
        <v>5</v>
      </c>
      <c r="AO3">
        <f t="shared" ref="AO3:AO66" si="7">SUM(AK3,AM3)</f>
        <v>51</v>
      </c>
      <c r="AP3">
        <f t="shared" ref="AP3:AP66" si="8">SUM(N3,AB3,AH3,AN3)</f>
        <v>26</v>
      </c>
      <c r="AQ3">
        <f t="shared" ref="AQ3:AQ66" si="9">SUM(O3,AC3,AI3,AO3)</f>
        <v>144</v>
      </c>
    </row>
    <row r="4" spans="1:43" x14ac:dyDescent="0.2">
      <c r="B4" t="s">
        <v>23</v>
      </c>
      <c r="C4" t="s">
        <v>24</v>
      </c>
      <c r="D4" t="s">
        <v>27</v>
      </c>
      <c r="E4" t="s">
        <v>28</v>
      </c>
      <c r="N4">
        <f t="shared" si="0"/>
        <v>0</v>
      </c>
      <c r="O4">
        <f t="shared" si="1"/>
        <v>0</v>
      </c>
      <c r="AB4">
        <f t="shared" si="2"/>
        <v>0</v>
      </c>
      <c r="AC4">
        <f t="shared" si="3"/>
        <v>0</v>
      </c>
      <c r="AH4">
        <f t="shared" si="4"/>
        <v>0</v>
      </c>
      <c r="AI4">
        <f t="shared" si="5"/>
        <v>0</v>
      </c>
      <c r="AN4">
        <f t="shared" si="6"/>
        <v>0</v>
      </c>
      <c r="AO4">
        <f t="shared" si="7"/>
        <v>0</v>
      </c>
      <c r="AP4">
        <f t="shared" si="8"/>
        <v>0</v>
      </c>
      <c r="AQ4">
        <f t="shared" si="9"/>
        <v>0</v>
      </c>
    </row>
    <row r="5" spans="1:43" x14ac:dyDescent="0.2">
      <c r="A5">
        <v>2392495</v>
      </c>
      <c r="B5" t="s">
        <v>23</v>
      </c>
      <c r="C5" t="s">
        <v>24</v>
      </c>
      <c r="D5" t="s">
        <v>29</v>
      </c>
      <c r="E5" t="s">
        <v>30</v>
      </c>
      <c r="N5">
        <f t="shared" si="0"/>
        <v>0</v>
      </c>
      <c r="O5">
        <f t="shared" si="1"/>
        <v>0</v>
      </c>
      <c r="AB5">
        <f t="shared" si="2"/>
        <v>0</v>
      </c>
      <c r="AC5">
        <f t="shared" si="3"/>
        <v>0</v>
      </c>
      <c r="AG5">
        <v>9</v>
      </c>
      <c r="AH5">
        <f t="shared" si="4"/>
        <v>0</v>
      </c>
      <c r="AI5">
        <f t="shared" si="5"/>
        <v>9</v>
      </c>
      <c r="AN5">
        <f t="shared" si="6"/>
        <v>0</v>
      </c>
      <c r="AO5">
        <f t="shared" si="7"/>
        <v>0</v>
      </c>
      <c r="AP5">
        <f t="shared" si="8"/>
        <v>0</v>
      </c>
      <c r="AQ5">
        <f t="shared" si="9"/>
        <v>9</v>
      </c>
    </row>
    <row r="6" spans="1:43" x14ac:dyDescent="0.2">
      <c r="A6">
        <v>5536790</v>
      </c>
      <c r="B6" t="s">
        <v>23</v>
      </c>
      <c r="C6" t="s">
        <v>24</v>
      </c>
      <c r="D6" t="s">
        <v>31</v>
      </c>
      <c r="E6" t="s">
        <v>32</v>
      </c>
      <c r="N6">
        <f t="shared" si="0"/>
        <v>0</v>
      </c>
      <c r="O6">
        <f t="shared" si="1"/>
        <v>0</v>
      </c>
      <c r="AB6">
        <f t="shared" si="2"/>
        <v>0</v>
      </c>
      <c r="AC6">
        <f t="shared" si="3"/>
        <v>0</v>
      </c>
      <c r="AH6">
        <f t="shared" si="4"/>
        <v>0</v>
      </c>
      <c r="AI6">
        <f t="shared" si="5"/>
        <v>0</v>
      </c>
      <c r="AN6">
        <f t="shared" si="6"/>
        <v>0</v>
      </c>
      <c r="AO6">
        <f t="shared" si="7"/>
        <v>0</v>
      </c>
      <c r="AP6">
        <f t="shared" si="8"/>
        <v>0</v>
      </c>
      <c r="AQ6">
        <f t="shared" si="9"/>
        <v>0</v>
      </c>
    </row>
    <row r="7" spans="1:43" x14ac:dyDescent="0.2">
      <c r="A7">
        <v>6822446</v>
      </c>
      <c r="B7" t="s">
        <v>23</v>
      </c>
      <c r="C7" t="s">
        <v>24</v>
      </c>
      <c r="D7" t="s">
        <v>33</v>
      </c>
      <c r="E7" t="s">
        <v>34</v>
      </c>
      <c r="N7">
        <f t="shared" si="0"/>
        <v>0</v>
      </c>
      <c r="O7">
        <f t="shared" si="1"/>
        <v>0</v>
      </c>
      <c r="W7">
        <v>21</v>
      </c>
      <c r="AB7">
        <f t="shared" si="2"/>
        <v>0</v>
      </c>
      <c r="AC7">
        <f t="shared" si="3"/>
        <v>21</v>
      </c>
      <c r="AH7">
        <f t="shared" si="4"/>
        <v>0</v>
      </c>
      <c r="AI7">
        <f t="shared" si="5"/>
        <v>0</v>
      </c>
      <c r="AN7">
        <f t="shared" si="6"/>
        <v>0</v>
      </c>
      <c r="AO7">
        <f t="shared" si="7"/>
        <v>0</v>
      </c>
      <c r="AP7">
        <f t="shared" si="8"/>
        <v>0</v>
      </c>
      <c r="AQ7">
        <f t="shared" si="9"/>
        <v>21</v>
      </c>
    </row>
    <row r="8" spans="1:43" x14ac:dyDescent="0.2">
      <c r="A8">
        <v>5762971</v>
      </c>
      <c r="B8" t="s">
        <v>23</v>
      </c>
      <c r="C8" t="s">
        <v>24</v>
      </c>
      <c r="D8" t="s">
        <v>25</v>
      </c>
      <c r="E8" t="s">
        <v>35</v>
      </c>
      <c r="G8">
        <v>23</v>
      </c>
      <c r="I8">
        <v>17</v>
      </c>
      <c r="N8">
        <f t="shared" si="0"/>
        <v>0</v>
      </c>
      <c r="O8">
        <f t="shared" si="1"/>
        <v>40</v>
      </c>
      <c r="Q8">
        <v>5</v>
      </c>
      <c r="V8">
        <v>4</v>
      </c>
      <c r="W8">
        <v>4</v>
      </c>
      <c r="AB8">
        <f t="shared" si="2"/>
        <v>4</v>
      </c>
      <c r="AC8">
        <f t="shared" si="3"/>
        <v>9</v>
      </c>
      <c r="AE8">
        <v>12</v>
      </c>
      <c r="AG8">
        <v>16</v>
      </c>
      <c r="AH8">
        <f t="shared" si="4"/>
        <v>0</v>
      </c>
      <c r="AI8">
        <f t="shared" si="5"/>
        <v>28</v>
      </c>
      <c r="AK8">
        <v>25</v>
      </c>
      <c r="AL8">
        <v>3</v>
      </c>
      <c r="AM8">
        <v>14</v>
      </c>
      <c r="AN8">
        <f t="shared" si="6"/>
        <v>3</v>
      </c>
      <c r="AO8">
        <f t="shared" si="7"/>
        <v>39</v>
      </c>
      <c r="AP8">
        <f t="shared" si="8"/>
        <v>7</v>
      </c>
      <c r="AQ8">
        <f t="shared" si="9"/>
        <v>116</v>
      </c>
    </row>
    <row r="9" spans="1:43" x14ac:dyDescent="0.2">
      <c r="B9" t="s">
        <v>23</v>
      </c>
      <c r="C9" t="s">
        <v>24</v>
      </c>
      <c r="D9" t="s">
        <v>25</v>
      </c>
      <c r="E9" t="s">
        <v>36</v>
      </c>
      <c r="N9">
        <f t="shared" si="0"/>
        <v>0</v>
      </c>
      <c r="O9">
        <f t="shared" si="1"/>
        <v>0</v>
      </c>
      <c r="AB9">
        <f t="shared" si="2"/>
        <v>0</v>
      </c>
      <c r="AC9">
        <f t="shared" si="3"/>
        <v>0</v>
      </c>
      <c r="AH9">
        <f t="shared" si="4"/>
        <v>0</v>
      </c>
      <c r="AI9">
        <f t="shared" si="5"/>
        <v>0</v>
      </c>
      <c r="AN9">
        <f t="shared" si="6"/>
        <v>0</v>
      </c>
      <c r="AO9">
        <f t="shared" si="7"/>
        <v>0</v>
      </c>
      <c r="AP9">
        <f t="shared" si="8"/>
        <v>0</v>
      </c>
      <c r="AQ9">
        <f t="shared" si="9"/>
        <v>0</v>
      </c>
    </row>
    <row r="10" spans="1:43" x14ac:dyDescent="0.2">
      <c r="B10" t="s">
        <v>23</v>
      </c>
      <c r="C10" t="s">
        <v>24</v>
      </c>
      <c r="D10" t="s">
        <v>37</v>
      </c>
      <c r="E10" t="s">
        <v>38</v>
      </c>
      <c r="N10">
        <f t="shared" si="0"/>
        <v>0</v>
      </c>
      <c r="O10">
        <f t="shared" si="1"/>
        <v>0</v>
      </c>
      <c r="Q10" t="s">
        <v>39</v>
      </c>
      <c r="AB10">
        <f t="shared" si="2"/>
        <v>0</v>
      </c>
      <c r="AC10">
        <f t="shared" si="3"/>
        <v>0</v>
      </c>
      <c r="AH10">
        <f t="shared" si="4"/>
        <v>0</v>
      </c>
      <c r="AI10">
        <f t="shared" si="5"/>
        <v>0</v>
      </c>
      <c r="AN10">
        <f t="shared" si="6"/>
        <v>0</v>
      </c>
      <c r="AO10">
        <f t="shared" si="7"/>
        <v>0</v>
      </c>
      <c r="AP10">
        <f t="shared" si="8"/>
        <v>0</v>
      </c>
      <c r="AQ10">
        <f t="shared" si="9"/>
        <v>0</v>
      </c>
    </row>
    <row r="11" spans="1:43" x14ac:dyDescent="0.2">
      <c r="A11">
        <v>3967195</v>
      </c>
      <c r="B11" t="s">
        <v>23</v>
      </c>
      <c r="C11" t="s">
        <v>40</v>
      </c>
      <c r="D11" t="s">
        <v>41</v>
      </c>
      <c r="E11" t="s">
        <v>42</v>
      </c>
      <c r="N11">
        <f t="shared" si="0"/>
        <v>0</v>
      </c>
      <c r="O11">
        <f t="shared" si="1"/>
        <v>0</v>
      </c>
      <c r="AB11">
        <f t="shared" si="2"/>
        <v>0</v>
      </c>
      <c r="AC11">
        <f t="shared" si="3"/>
        <v>0</v>
      </c>
      <c r="AG11">
        <v>14</v>
      </c>
      <c r="AH11">
        <f t="shared" si="4"/>
        <v>0</v>
      </c>
      <c r="AI11">
        <f t="shared" si="5"/>
        <v>14</v>
      </c>
      <c r="AN11">
        <f t="shared" si="6"/>
        <v>0</v>
      </c>
      <c r="AO11">
        <f t="shared" si="7"/>
        <v>0</v>
      </c>
      <c r="AP11">
        <f t="shared" si="8"/>
        <v>0</v>
      </c>
      <c r="AQ11">
        <f t="shared" si="9"/>
        <v>14</v>
      </c>
    </row>
    <row r="12" spans="1:43" x14ac:dyDescent="0.2">
      <c r="A12">
        <v>210679</v>
      </c>
      <c r="B12" t="s">
        <v>23</v>
      </c>
      <c r="C12" t="s">
        <v>43</v>
      </c>
      <c r="D12" t="s">
        <v>44</v>
      </c>
      <c r="E12" t="s">
        <v>45</v>
      </c>
      <c r="G12">
        <v>18</v>
      </c>
      <c r="H12">
        <v>2</v>
      </c>
      <c r="I12">
        <v>9</v>
      </c>
      <c r="N12">
        <f t="shared" si="0"/>
        <v>2</v>
      </c>
      <c r="O12">
        <f t="shared" si="1"/>
        <v>27</v>
      </c>
      <c r="Q12">
        <v>5</v>
      </c>
      <c r="V12">
        <v>1</v>
      </c>
      <c r="W12">
        <v>4</v>
      </c>
      <c r="AB12">
        <f t="shared" si="2"/>
        <v>1</v>
      </c>
      <c r="AC12">
        <f t="shared" si="3"/>
        <v>9</v>
      </c>
      <c r="AG12">
        <v>12</v>
      </c>
      <c r="AH12">
        <f t="shared" si="4"/>
        <v>0</v>
      </c>
      <c r="AI12">
        <f t="shared" si="5"/>
        <v>12</v>
      </c>
      <c r="AK12">
        <v>25</v>
      </c>
      <c r="AL12">
        <v>2</v>
      </c>
      <c r="AM12">
        <v>3</v>
      </c>
      <c r="AN12">
        <f t="shared" si="6"/>
        <v>2</v>
      </c>
      <c r="AO12">
        <f t="shared" si="7"/>
        <v>28</v>
      </c>
      <c r="AP12">
        <f t="shared" si="8"/>
        <v>5</v>
      </c>
      <c r="AQ12">
        <f t="shared" si="9"/>
        <v>76</v>
      </c>
    </row>
    <row r="13" spans="1:43" x14ac:dyDescent="0.2">
      <c r="A13">
        <v>6875972</v>
      </c>
      <c r="B13" t="s">
        <v>23</v>
      </c>
      <c r="C13" t="s">
        <v>43</v>
      </c>
      <c r="D13" t="s">
        <v>41</v>
      </c>
      <c r="E13" t="s">
        <v>46</v>
      </c>
      <c r="G13">
        <v>12</v>
      </c>
      <c r="H13">
        <v>3</v>
      </c>
      <c r="I13">
        <v>1</v>
      </c>
      <c r="N13">
        <f t="shared" si="0"/>
        <v>3</v>
      </c>
      <c r="O13">
        <f t="shared" si="1"/>
        <v>13</v>
      </c>
      <c r="AB13">
        <f t="shared" si="2"/>
        <v>0</v>
      </c>
      <c r="AC13">
        <f t="shared" si="3"/>
        <v>0</v>
      </c>
      <c r="AE13">
        <v>6</v>
      </c>
      <c r="AH13">
        <f t="shared" si="4"/>
        <v>0</v>
      </c>
      <c r="AI13">
        <f t="shared" si="5"/>
        <v>6</v>
      </c>
      <c r="AK13">
        <v>20</v>
      </c>
      <c r="AL13">
        <v>2</v>
      </c>
      <c r="AM13">
        <v>11</v>
      </c>
      <c r="AN13">
        <f t="shared" si="6"/>
        <v>2</v>
      </c>
      <c r="AO13">
        <f t="shared" si="7"/>
        <v>31</v>
      </c>
      <c r="AP13">
        <f t="shared" si="8"/>
        <v>5</v>
      </c>
      <c r="AQ13">
        <f t="shared" si="9"/>
        <v>50</v>
      </c>
    </row>
    <row r="14" spans="1:43" x14ac:dyDescent="0.2">
      <c r="B14" t="s">
        <v>47</v>
      </c>
      <c r="C14" t="s">
        <v>48</v>
      </c>
      <c r="D14" t="s">
        <v>49</v>
      </c>
      <c r="E14" t="s">
        <v>50</v>
      </c>
      <c r="N14">
        <f t="shared" si="0"/>
        <v>0</v>
      </c>
      <c r="O14">
        <f t="shared" si="1"/>
        <v>0</v>
      </c>
      <c r="AB14">
        <f t="shared" si="2"/>
        <v>0</v>
      </c>
      <c r="AC14">
        <f t="shared" si="3"/>
        <v>0</v>
      </c>
      <c r="AH14">
        <f t="shared" si="4"/>
        <v>0</v>
      </c>
      <c r="AI14">
        <f t="shared" si="5"/>
        <v>0</v>
      </c>
      <c r="AN14">
        <f t="shared" si="6"/>
        <v>0</v>
      </c>
      <c r="AO14">
        <f t="shared" si="7"/>
        <v>0</v>
      </c>
      <c r="AP14">
        <f t="shared" si="8"/>
        <v>0</v>
      </c>
      <c r="AQ14">
        <f t="shared" si="9"/>
        <v>0</v>
      </c>
    </row>
    <row r="15" spans="1:43" x14ac:dyDescent="0.2">
      <c r="A15">
        <v>2916765</v>
      </c>
      <c r="B15" t="s">
        <v>47</v>
      </c>
      <c r="C15" t="s">
        <v>48</v>
      </c>
      <c r="D15" t="s">
        <v>51</v>
      </c>
      <c r="E15" t="s">
        <v>52</v>
      </c>
      <c r="N15">
        <f t="shared" si="0"/>
        <v>0</v>
      </c>
      <c r="O15">
        <f t="shared" si="1"/>
        <v>0</v>
      </c>
      <c r="AB15">
        <f t="shared" si="2"/>
        <v>0</v>
      </c>
      <c r="AC15">
        <f t="shared" si="3"/>
        <v>0</v>
      </c>
      <c r="AH15">
        <f t="shared" si="4"/>
        <v>0</v>
      </c>
      <c r="AI15">
        <f t="shared" si="5"/>
        <v>0</v>
      </c>
      <c r="AN15">
        <f t="shared" si="6"/>
        <v>0</v>
      </c>
      <c r="AO15">
        <f t="shared" si="7"/>
        <v>0</v>
      </c>
      <c r="AP15">
        <f t="shared" si="8"/>
        <v>0</v>
      </c>
      <c r="AQ15">
        <f t="shared" si="9"/>
        <v>0</v>
      </c>
    </row>
    <row r="16" spans="1:43" x14ac:dyDescent="0.2">
      <c r="A16">
        <v>4802900</v>
      </c>
      <c r="B16" t="s">
        <v>47</v>
      </c>
      <c r="C16" t="s">
        <v>48</v>
      </c>
      <c r="D16" t="s">
        <v>53</v>
      </c>
      <c r="E16" t="s">
        <v>54</v>
      </c>
      <c r="G16">
        <v>1</v>
      </c>
      <c r="M16">
        <v>1</v>
      </c>
      <c r="N16">
        <f t="shared" si="0"/>
        <v>0</v>
      </c>
      <c r="O16">
        <f t="shared" si="1"/>
        <v>2</v>
      </c>
      <c r="AB16">
        <f t="shared" si="2"/>
        <v>0</v>
      </c>
      <c r="AC16">
        <f t="shared" si="3"/>
        <v>0</v>
      </c>
      <c r="AH16">
        <f t="shared" si="4"/>
        <v>0</v>
      </c>
      <c r="AI16">
        <f t="shared" si="5"/>
        <v>0</v>
      </c>
      <c r="AN16">
        <f t="shared" si="6"/>
        <v>0</v>
      </c>
      <c r="AO16">
        <f t="shared" si="7"/>
        <v>0</v>
      </c>
      <c r="AP16">
        <f t="shared" si="8"/>
        <v>0</v>
      </c>
      <c r="AQ16">
        <f t="shared" si="9"/>
        <v>2</v>
      </c>
    </row>
    <row r="17" spans="1:43" x14ac:dyDescent="0.2">
      <c r="A17">
        <v>3117451</v>
      </c>
      <c r="B17" t="s">
        <v>47</v>
      </c>
      <c r="C17" t="s">
        <v>55</v>
      </c>
      <c r="D17" t="s">
        <v>56</v>
      </c>
      <c r="E17" t="s">
        <v>57</v>
      </c>
      <c r="G17">
        <v>4</v>
      </c>
      <c r="H17">
        <v>2</v>
      </c>
      <c r="I17">
        <v>15</v>
      </c>
      <c r="N17">
        <f t="shared" si="0"/>
        <v>2</v>
      </c>
      <c r="O17">
        <f t="shared" si="1"/>
        <v>19</v>
      </c>
      <c r="Q17">
        <v>4</v>
      </c>
      <c r="AB17">
        <f t="shared" si="2"/>
        <v>0</v>
      </c>
      <c r="AC17">
        <f t="shared" si="3"/>
        <v>4</v>
      </c>
      <c r="AH17">
        <f t="shared" si="4"/>
        <v>0</v>
      </c>
      <c r="AI17">
        <f t="shared" si="5"/>
        <v>0</v>
      </c>
      <c r="AK17">
        <v>3</v>
      </c>
      <c r="AL17">
        <v>1</v>
      </c>
      <c r="AN17">
        <f t="shared" si="6"/>
        <v>1</v>
      </c>
      <c r="AO17">
        <f t="shared" si="7"/>
        <v>3</v>
      </c>
      <c r="AP17">
        <f t="shared" si="8"/>
        <v>3</v>
      </c>
      <c r="AQ17">
        <f t="shared" si="9"/>
        <v>26</v>
      </c>
    </row>
    <row r="18" spans="1:43" x14ac:dyDescent="0.2">
      <c r="A18">
        <v>7213679</v>
      </c>
      <c r="B18" t="s">
        <v>47</v>
      </c>
      <c r="C18" t="s">
        <v>55</v>
      </c>
      <c r="D18" t="s">
        <v>58</v>
      </c>
      <c r="E18" t="s">
        <v>59</v>
      </c>
      <c r="G18">
        <v>18</v>
      </c>
      <c r="H18">
        <v>3</v>
      </c>
      <c r="I18">
        <v>7</v>
      </c>
      <c r="N18">
        <f t="shared" si="0"/>
        <v>3</v>
      </c>
      <c r="O18">
        <f t="shared" si="1"/>
        <v>25</v>
      </c>
      <c r="AB18">
        <f t="shared" si="2"/>
        <v>0</v>
      </c>
      <c r="AC18">
        <f t="shared" si="3"/>
        <v>0</v>
      </c>
      <c r="AH18">
        <f t="shared" si="4"/>
        <v>0</v>
      </c>
      <c r="AI18">
        <f t="shared" si="5"/>
        <v>0</v>
      </c>
      <c r="AN18">
        <f t="shared" si="6"/>
        <v>0</v>
      </c>
      <c r="AO18">
        <f t="shared" si="7"/>
        <v>0</v>
      </c>
      <c r="AP18">
        <f t="shared" si="8"/>
        <v>3</v>
      </c>
      <c r="AQ18">
        <f t="shared" si="9"/>
        <v>25</v>
      </c>
    </row>
    <row r="19" spans="1:43" x14ac:dyDescent="0.2">
      <c r="A19">
        <v>3286494</v>
      </c>
      <c r="B19" t="s">
        <v>47</v>
      </c>
      <c r="C19" t="s">
        <v>55</v>
      </c>
      <c r="D19" t="s">
        <v>58</v>
      </c>
      <c r="E19" t="s">
        <v>60</v>
      </c>
      <c r="G19">
        <v>19</v>
      </c>
      <c r="H19">
        <v>2</v>
      </c>
      <c r="I19">
        <v>9</v>
      </c>
      <c r="N19">
        <f t="shared" si="0"/>
        <v>2</v>
      </c>
      <c r="O19">
        <f t="shared" si="1"/>
        <v>28</v>
      </c>
      <c r="AB19">
        <f t="shared" si="2"/>
        <v>0</v>
      </c>
      <c r="AC19">
        <f t="shared" si="3"/>
        <v>0</v>
      </c>
      <c r="AH19">
        <f t="shared" si="4"/>
        <v>0</v>
      </c>
      <c r="AI19">
        <f t="shared" si="5"/>
        <v>0</v>
      </c>
      <c r="AN19">
        <f t="shared" si="6"/>
        <v>0</v>
      </c>
      <c r="AO19">
        <f t="shared" si="7"/>
        <v>0</v>
      </c>
      <c r="AP19">
        <f t="shared" si="8"/>
        <v>2</v>
      </c>
      <c r="AQ19">
        <f t="shared" si="9"/>
        <v>28</v>
      </c>
    </row>
    <row r="20" spans="1:43" x14ac:dyDescent="0.2">
      <c r="A20">
        <v>546355</v>
      </c>
      <c r="B20" t="s">
        <v>47</v>
      </c>
      <c r="C20" t="s">
        <v>61</v>
      </c>
      <c r="D20" t="s">
        <v>62</v>
      </c>
      <c r="E20" t="s">
        <v>63</v>
      </c>
      <c r="K20">
        <v>8</v>
      </c>
      <c r="N20">
        <f t="shared" si="0"/>
        <v>0</v>
      </c>
      <c r="O20">
        <f t="shared" si="1"/>
        <v>8</v>
      </c>
      <c r="Q20">
        <v>5.0999999999999996</v>
      </c>
      <c r="AB20">
        <f t="shared" si="2"/>
        <v>0</v>
      </c>
      <c r="AC20">
        <f t="shared" si="3"/>
        <v>5.0999999999999996</v>
      </c>
      <c r="AH20">
        <f t="shared" si="4"/>
        <v>0</v>
      </c>
      <c r="AI20">
        <f t="shared" si="5"/>
        <v>0</v>
      </c>
      <c r="AK20">
        <v>0.3</v>
      </c>
      <c r="AN20">
        <f t="shared" si="6"/>
        <v>0</v>
      </c>
      <c r="AO20">
        <f t="shared" si="7"/>
        <v>0.3</v>
      </c>
      <c r="AP20">
        <f t="shared" si="8"/>
        <v>0</v>
      </c>
      <c r="AQ20">
        <f t="shared" si="9"/>
        <v>13.4</v>
      </c>
    </row>
    <row r="21" spans="1:43" x14ac:dyDescent="0.2">
      <c r="A21">
        <v>5544675</v>
      </c>
      <c r="B21" t="s">
        <v>47</v>
      </c>
      <c r="C21" t="s">
        <v>61</v>
      </c>
      <c r="D21" t="s">
        <v>51</v>
      </c>
      <c r="E21" t="s">
        <v>64</v>
      </c>
      <c r="I21">
        <v>0.2</v>
      </c>
      <c r="K21">
        <v>2</v>
      </c>
      <c r="N21">
        <f t="shared" si="0"/>
        <v>0</v>
      </c>
      <c r="O21">
        <f t="shared" si="1"/>
        <v>2.2000000000000002</v>
      </c>
      <c r="Q21">
        <v>1.3</v>
      </c>
      <c r="W21">
        <v>6</v>
      </c>
      <c r="AB21">
        <f t="shared" si="2"/>
        <v>0</v>
      </c>
      <c r="AC21">
        <f t="shared" si="3"/>
        <v>7.3</v>
      </c>
      <c r="AG21">
        <v>53</v>
      </c>
      <c r="AH21">
        <f t="shared" si="4"/>
        <v>0</v>
      </c>
      <c r="AI21">
        <f t="shared" si="5"/>
        <v>53</v>
      </c>
      <c r="AN21">
        <f t="shared" si="6"/>
        <v>0</v>
      </c>
      <c r="AO21">
        <f t="shared" si="7"/>
        <v>0</v>
      </c>
      <c r="AP21">
        <f t="shared" si="8"/>
        <v>0</v>
      </c>
      <c r="AQ21">
        <f t="shared" si="9"/>
        <v>62.5</v>
      </c>
    </row>
    <row r="22" spans="1:43" x14ac:dyDescent="0.2">
      <c r="A22">
        <v>2198745</v>
      </c>
      <c r="B22" t="s">
        <v>47</v>
      </c>
      <c r="C22" t="s">
        <v>61</v>
      </c>
      <c r="D22" t="s">
        <v>51</v>
      </c>
      <c r="E22" t="s">
        <v>65</v>
      </c>
      <c r="I22">
        <v>1</v>
      </c>
      <c r="K22">
        <v>8</v>
      </c>
      <c r="N22">
        <f t="shared" si="0"/>
        <v>0</v>
      </c>
      <c r="O22">
        <f t="shared" si="1"/>
        <v>9</v>
      </c>
      <c r="AB22">
        <f t="shared" si="2"/>
        <v>0</v>
      </c>
      <c r="AC22">
        <f t="shared" si="3"/>
        <v>0</v>
      </c>
      <c r="AH22">
        <f t="shared" si="4"/>
        <v>0</v>
      </c>
      <c r="AI22">
        <f t="shared" si="5"/>
        <v>0</v>
      </c>
      <c r="AK22">
        <v>2</v>
      </c>
      <c r="AN22">
        <f t="shared" si="6"/>
        <v>0</v>
      </c>
      <c r="AO22">
        <f t="shared" si="7"/>
        <v>2</v>
      </c>
      <c r="AP22">
        <f t="shared" si="8"/>
        <v>0</v>
      </c>
      <c r="AQ22">
        <f t="shared" si="9"/>
        <v>11</v>
      </c>
    </row>
    <row r="23" spans="1:43" x14ac:dyDescent="0.2">
      <c r="A23">
        <v>212438</v>
      </c>
      <c r="B23" t="s">
        <v>47</v>
      </c>
      <c r="C23" t="s">
        <v>61</v>
      </c>
      <c r="D23" t="s">
        <v>51</v>
      </c>
      <c r="E23" t="s">
        <v>66</v>
      </c>
      <c r="I23">
        <v>1</v>
      </c>
      <c r="K23">
        <v>1</v>
      </c>
      <c r="N23">
        <f t="shared" si="0"/>
        <v>0</v>
      </c>
      <c r="O23">
        <f t="shared" si="1"/>
        <v>2</v>
      </c>
      <c r="Q23">
        <v>0.5</v>
      </c>
      <c r="W23">
        <v>3</v>
      </c>
      <c r="AB23">
        <f t="shared" si="2"/>
        <v>0</v>
      </c>
      <c r="AC23">
        <f t="shared" si="3"/>
        <v>3.5</v>
      </c>
      <c r="AH23">
        <f t="shared" si="4"/>
        <v>0</v>
      </c>
      <c r="AI23">
        <f t="shared" si="5"/>
        <v>0</v>
      </c>
      <c r="AN23">
        <f t="shared" si="6"/>
        <v>0</v>
      </c>
      <c r="AO23">
        <f t="shared" si="7"/>
        <v>0</v>
      </c>
      <c r="AP23">
        <f t="shared" si="8"/>
        <v>0</v>
      </c>
      <c r="AQ23">
        <f t="shared" si="9"/>
        <v>5.5</v>
      </c>
    </row>
    <row r="24" spans="1:43" x14ac:dyDescent="0.2">
      <c r="A24">
        <v>388445</v>
      </c>
      <c r="B24" t="s">
        <v>47</v>
      </c>
      <c r="C24" t="s">
        <v>61</v>
      </c>
      <c r="D24" t="s">
        <v>67</v>
      </c>
      <c r="E24" t="s">
        <v>68</v>
      </c>
      <c r="G24">
        <v>0.1</v>
      </c>
      <c r="K24">
        <v>35</v>
      </c>
      <c r="N24">
        <f t="shared" si="0"/>
        <v>0</v>
      </c>
      <c r="O24">
        <f t="shared" si="1"/>
        <v>35.1</v>
      </c>
      <c r="Q24">
        <v>1</v>
      </c>
      <c r="AB24">
        <f t="shared" si="2"/>
        <v>0</v>
      </c>
      <c r="AC24">
        <f t="shared" si="3"/>
        <v>1</v>
      </c>
      <c r="AE24">
        <v>0.6</v>
      </c>
      <c r="AH24">
        <f t="shared" si="4"/>
        <v>0</v>
      </c>
      <c r="AI24">
        <f t="shared" si="5"/>
        <v>0.6</v>
      </c>
      <c r="AK24">
        <v>0.4</v>
      </c>
      <c r="AM24">
        <v>13</v>
      </c>
      <c r="AN24">
        <f t="shared" si="6"/>
        <v>0</v>
      </c>
      <c r="AO24">
        <f t="shared" si="7"/>
        <v>13.4</v>
      </c>
      <c r="AP24">
        <f t="shared" si="8"/>
        <v>0</v>
      </c>
      <c r="AQ24">
        <f t="shared" si="9"/>
        <v>50.1</v>
      </c>
    </row>
    <row r="25" spans="1:43" x14ac:dyDescent="0.2">
      <c r="A25">
        <v>390556</v>
      </c>
      <c r="B25" t="s">
        <v>47</v>
      </c>
      <c r="C25" t="s">
        <v>61</v>
      </c>
      <c r="D25" t="s">
        <v>67</v>
      </c>
      <c r="E25" t="s">
        <v>69</v>
      </c>
      <c r="G25">
        <v>0.9</v>
      </c>
      <c r="K25">
        <v>5</v>
      </c>
      <c r="N25">
        <f t="shared" si="0"/>
        <v>0</v>
      </c>
      <c r="O25">
        <f t="shared" si="1"/>
        <v>5.9</v>
      </c>
      <c r="Q25">
        <v>1.4</v>
      </c>
      <c r="AB25">
        <f t="shared" si="2"/>
        <v>0</v>
      </c>
      <c r="AC25">
        <f t="shared" si="3"/>
        <v>1.4</v>
      </c>
      <c r="AE25">
        <v>0.4</v>
      </c>
      <c r="AH25">
        <f t="shared" si="4"/>
        <v>0</v>
      </c>
      <c r="AI25">
        <f t="shared" si="5"/>
        <v>0.4</v>
      </c>
      <c r="AK25">
        <v>1.8</v>
      </c>
      <c r="AM25">
        <v>10</v>
      </c>
      <c r="AN25">
        <f t="shared" si="6"/>
        <v>0</v>
      </c>
      <c r="AO25">
        <f t="shared" si="7"/>
        <v>11.8</v>
      </c>
      <c r="AP25">
        <f t="shared" si="8"/>
        <v>0</v>
      </c>
      <c r="AQ25">
        <f t="shared" si="9"/>
        <v>19.5</v>
      </c>
    </row>
    <row r="26" spans="1:43" x14ac:dyDescent="0.2">
      <c r="A26">
        <v>317090</v>
      </c>
      <c r="B26" t="s">
        <v>47</v>
      </c>
      <c r="C26" t="s">
        <v>70</v>
      </c>
      <c r="D26" t="s">
        <v>53</v>
      </c>
      <c r="E26" t="s">
        <v>71</v>
      </c>
      <c r="G26">
        <v>0.9</v>
      </c>
      <c r="M26">
        <v>7</v>
      </c>
      <c r="N26">
        <f t="shared" si="0"/>
        <v>0</v>
      </c>
      <c r="O26">
        <f t="shared" si="1"/>
        <v>7.9</v>
      </c>
      <c r="Q26">
        <v>2.8</v>
      </c>
      <c r="AB26">
        <f t="shared" si="2"/>
        <v>0</v>
      </c>
      <c r="AC26">
        <f t="shared" si="3"/>
        <v>2.8</v>
      </c>
      <c r="AE26">
        <v>2.1</v>
      </c>
      <c r="AH26">
        <f t="shared" si="4"/>
        <v>0</v>
      </c>
      <c r="AI26">
        <f t="shared" si="5"/>
        <v>2.1</v>
      </c>
      <c r="AN26">
        <f t="shared" si="6"/>
        <v>0</v>
      </c>
      <c r="AO26">
        <f t="shared" si="7"/>
        <v>0</v>
      </c>
      <c r="AP26">
        <f t="shared" si="8"/>
        <v>0</v>
      </c>
      <c r="AQ26">
        <f t="shared" si="9"/>
        <v>12.799999999999999</v>
      </c>
    </row>
    <row r="27" spans="1:43" x14ac:dyDescent="0.2">
      <c r="A27">
        <v>6975423</v>
      </c>
      <c r="B27" t="s">
        <v>47</v>
      </c>
      <c r="C27" t="s">
        <v>70</v>
      </c>
      <c r="D27" t="s">
        <v>72</v>
      </c>
      <c r="E27" t="s">
        <v>73</v>
      </c>
      <c r="M27">
        <v>1</v>
      </c>
      <c r="N27">
        <f t="shared" si="0"/>
        <v>0</v>
      </c>
      <c r="O27">
        <f t="shared" si="1"/>
        <v>1</v>
      </c>
      <c r="AB27">
        <f t="shared" si="2"/>
        <v>0</v>
      </c>
      <c r="AC27">
        <f t="shared" si="3"/>
        <v>0</v>
      </c>
      <c r="AH27">
        <f t="shared" si="4"/>
        <v>0</v>
      </c>
      <c r="AI27">
        <f t="shared" si="5"/>
        <v>0</v>
      </c>
      <c r="AN27">
        <f t="shared" si="6"/>
        <v>0</v>
      </c>
      <c r="AO27">
        <f t="shared" si="7"/>
        <v>0</v>
      </c>
      <c r="AP27">
        <f t="shared" si="8"/>
        <v>0</v>
      </c>
      <c r="AQ27">
        <f t="shared" si="9"/>
        <v>1</v>
      </c>
    </row>
    <row r="28" spans="1:43" x14ac:dyDescent="0.2">
      <c r="A28">
        <v>252574</v>
      </c>
      <c r="B28" t="s">
        <v>47</v>
      </c>
      <c r="C28" t="s">
        <v>70</v>
      </c>
      <c r="D28" t="s">
        <v>72</v>
      </c>
      <c r="E28" t="s">
        <v>74</v>
      </c>
      <c r="M28">
        <v>1.8</v>
      </c>
      <c r="N28">
        <f t="shared" si="0"/>
        <v>0</v>
      </c>
      <c r="O28">
        <f t="shared" si="1"/>
        <v>1.8</v>
      </c>
      <c r="AB28">
        <f t="shared" si="2"/>
        <v>0</v>
      </c>
      <c r="AC28">
        <f t="shared" si="3"/>
        <v>0</v>
      </c>
      <c r="AH28">
        <f t="shared" si="4"/>
        <v>0</v>
      </c>
      <c r="AI28">
        <f t="shared" si="5"/>
        <v>0</v>
      </c>
      <c r="AM28">
        <v>2.9</v>
      </c>
      <c r="AN28">
        <f t="shared" si="6"/>
        <v>0</v>
      </c>
      <c r="AO28">
        <f t="shared" si="7"/>
        <v>2.9</v>
      </c>
      <c r="AP28">
        <f t="shared" si="8"/>
        <v>0</v>
      </c>
      <c r="AQ28">
        <f t="shared" si="9"/>
        <v>4.7</v>
      </c>
    </row>
    <row r="29" spans="1:43" x14ac:dyDescent="0.2">
      <c r="A29">
        <v>390562</v>
      </c>
      <c r="B29" t="s">
        <v>47</v>
      </c>
      <c r="C29" t="s">
        <v>70</v>
      </c>
      <c r="D29" t="s">
        <v>72</v>
      </c>
      <c r="E29" t="s">
        <v>75</v>
      </c>
      <c r="M29">
        <v>8.9</v>
      </c>
      <c r="N29">
        <f t="shared" si="0"/>
        <v>0</v>
      </c>
      <c r="O29">
        <f t="shared" si="1"/>
        <v>8.9</v>
      </c>
      <c r="AB29">
        <f t="shared" si="2"/>
        <v>0</v>
      </c>
      <c r="AC29">
        <f t="shared" si="3"/>
        <v>0</v>
      </c>
      <c r="AH29">
        <f t="shared" si="4"/>
        <v>0</v>
      </c>
      <c r="AI29">
        <f t="shared" si="5"/>
        <v>0</v>
      </c>
      <c r="AN29">
        <f t="shared" si="6"/>
        <v>0</v>
      </c>
      <c r="AO29">
        <f t="shared" si="7"/>
        <v>0</v>
      </c>
      <c r="AP29">
        <f t="shared" si="8"/>
        <v>0</v>
      </c>
      <c r="AQ29">
        <f t="shared" si="9"/>
        <v>8.9</v>
      </c>
    </row>
    <row r="30" spans="1:43" x14ac:dyDescent="0.2">
      <c r="A30">
        <v>388463</v>
      </c>
      <c r="B30" t="s">
        <v>47</v>
      </c>
      <c r="C30" t="s">
        <v>70</v>
      </c>
      <c r="D30" t="s">
        <v>72</v>
      </c>
      <c r="E30" t="s">
        <v>76</v>
      </c>
      <c r="M30">
        <v>1</v>
      </c>
      <c r="N30">
        <f t="shared" si="0"/>
        <v>0</v>
      </c>
      <c r="O30">
        <f t="shared" si="1"/>
        <v>1</v>
      </c>
      <c r="AB30">
        <f t="shared" si="2"/>
        <v>0</v>
      </c>
      <c r="AC30">
        <f t="shared" si="3"/>
        <v>0</v>
      </c>
      <c r="AH30">
        <f t="shared" si="4"/>
        <v>0</v>
      </c>
      <c r="AI30">
        <f t="shared" si="5"/>
        <v>0</v>
      </c>
      <c r="AN30">
        <f t="shared" si="6"/>
        <v>0</v>
      </c>
      <c r="AO30">
        <f t="shared" si="7"/>
        <v>0</v>
      </c>
      <c r="AP30">
        <f t="shared" si="8"/>
        <v>0</v>
      </c>
      <c r="AQ30">
        <f t="shared" si="9"/>
        <v>1</v>
      </c>
    </row>
    <row r="31" spans="1:43" x14ac:dyDescent="0.2">
      <c r="A31">
        <v>2332706</v>
      </c>
      <c r="B31" t="s">
        <v>47</v>
      </c>
      <c r="C31" t="s">
        <v>70</v>
      </c>
      <c r="D31" t="s">
        <v>72</v>
      </c>
      <c r="E31" t="s">
        <v>77</v>
      </c>
      <c r="N31">
        <f t="shared" si="0"/>
        <v>0</v>
      </c>
      <c r="O31">
        <f t="shared" si="1"/>
        <v>0</v>
      </c>
      <c r="AB31">
        <f t="shared" si="2"/>
        <v>0</v>
      </c>
      <c r="AC31">
        <f t="shared" si="3"/>
        <v>0</v>
      </c>
      <c r="AH31">
        <f t="shared" si="4"/>
        <v>0</v>
      </c>
      <c r="AI31">
        <f t="shared" si="5"/>
        <v>0</v>
      </c>
      <c r="AN31">
        <f t="shared" si="6"/>
        <v>0</v>
      </c>
      <c r="AO31">
        <f t="shared" si="7"/>
        <v>0</v>
      </c>
      <c r="AP31">
        <f t="shared" si="8"/>
        <v>0</v>
      </c>
      <c r="AQ31">
        <f t="shared" si="9"/>
        <v>0</v>
      </c>
    </row>
    <row r="32" spans="1:43" x14ac:dyDescent="0.2">
      <c r="A32">
        <v>988622</v>
      </c>
      <c r="B32" t="s">
        <v>47</v>
      </c>
      <c r="C32" t="s">
        <v>70</v>
      </c>
      <c r="D32" t="s">
        <v>72</v>
      </c>
      <c r="E32" t="s">
        <v>78</v>
      </c>
      <c r="G32">
        <v>0.4</v>
      </c>
      <c r="M32">
        <v>4</v>
      </c>
      <c r="N32">
        <f t="shared" si="0"/>
        <v>0</v>
      </c>
      <c r="O32">
        <f t="shared" si="1"/>
        <v>4.4000000000000004</v>
      </c>
      <c r="W32">
        <v>0.9</v>
      </c>
      <c r="AB32">
        <f t="shared" si="2"/>
        <v>0</v>
      </c>
      <c r="AC32">
        <f t="shared" si="3"/>
        <v>0.9</v>
      </c>
      <c r="AE32">
        <v>0.8</v>
      </c>
      <c r="AH32">
        <f t="shared" si="4"/>
        <v>0</v>
      </c>
      <c r="AI32">
        <f t="shared" si="5"/>
        <v>0.8</v>
      </c>
      <c r="AN32">
        <f t="shared" si="6"/>
        <v>0</v>
      </c>
      <c r="AO32">
        <f t="shared" si="7"/>
        <v>0</v>
      </c>
      <c r="AP32">
        <f t="shared" si="8"/>
        <v>0</v>
      </c>
      <c r="AQ32">
        <f t="shared" si="9"/>
        <v>6.1000000000000005</v>
      </c>
    </row>
    <row r="33" spans="1:43" x14ac:dyDescent="0.2">
      <c r="A33">
        <v>674299</v>
      </c>
      <c r="B33" t="s">
        <v>47</v>
      </c>
      <c r="C33" t="s">
        <v>70</v>
      </c>
      <c r="D33" t="s">
        <v>72</v>
      </c>
      <c r="E33" t="s">
        <v>79</v>
      </c>
      <c r="G33">
        <v>0.7</v>
      </c>
      <c r="N33">
        <f t="shared" si="0"/>
        <v>0</v>
      </c>
      <c r="O33">
        <f t="shared" si="1"/>
        <v>0.7</v>
      </c>
      <c r="AB33">
        <f t="shared" si="2"/>
        <v>0</v>
      </c>
      <c r="AC33">
        <f t="shared" si="3"/>
        <v>0</v>
      </c>
      <c r="AE33">
        <v>0.9</v>
      </c>
      <c r="AH33">
        <f t="shared" si="4"/>
        <v>0</v>
      </c>
      <c r="AI33">
        <f t="shared" si="5"/>
        <v>0.9</v>
      </c>
      <c r="AN33">
        <f t="shared" si="6"/>
        <v>0</v>
      </c>
      <c r="AO33">
        <f t="shared" si="7"/>
        <v>0</v>
      </c>
      <c r="AP33">
        <f t="shared" si="8"/>
        <v>0</v>
      </c>
      <c r="AQ33">
        <f t="shared" si="9"/>
        <v>1.6</v>
      </c>
    </row>
    <row r="34" spans="1:43" x14ac:dyDescent="0.2">
      <c r="A34">
        <v>2748429</v>
      </c>
      <c r="B34" t="s">
        <v>47</v>
      </c>
      <c r="C34" t="s">
        <v>70</v>
      </c>
      <c r="D34" t="s">
        <v>80</v>
      </c>
      <c r="E34" t="s">
        <v>81</v>
      </c>
      <c r="G34">
        <v>0.3</v>
      </c>
      <c r="N34">
        <f t="shared" si="0"/>
        <v>0</v>
      </c>
      <c r="O34">
        <f t="shared" si="1"/>
        <v>0.3</v>
      </c>
      <c r="AB34">
        <f t="shared" si="2"/>
        <v>0</v>
      </c>
      <c r="AC34">
        <f t="shared" si="3"/>
        <v>0</v>
      </c>
      <c r="AH34">
        <f t="shared" si="4"/>
        <v>0</v>
      </c>
      <c r="AI34">
        <f t="shared" si="5"/>
        <v>0</v>
      </c>
      <c r="AN34">
        <f t="shared" si="6"/>
        <v>0</v>
      </c>
      <c r="AO34">
        <f t="shared" si="7"/>
        <v>0</v>
      </c>
      <c r="AP34">
        <f t="shared" si="8"/>
        <v>0</v>
      </c>
      <c r="AQ34">
        <f t="shared" si="9"/>
        <v>0.3</v>
      </c>
    </row>
    <row r="35" spans="1:43" x14ac:dyDescent="0.2">
      <c r="A35">
        <v>503590</v>
      </c>
      <c r="B35" t="s">
        <v>47</v>
      </c>
      <c r="C35" t="s">
        <v>70</v>
      </c>
      <c r="D35" t="s">
        <v>82</v>
      </c>
      <c r="E35" t="s">
        <v>83</v>
      </c>
      <c r="M35">
        <v>1.3</v>
      </c>
      <c r="N35">
        <f t="shared" si="0"/>
        <v>0</v>
      </c>
      <c r="O35">
        <f t="shared" si="1"/>
        <v>1.3</v>
      </c>
      <c r="AB35">
        <f t="shared" si="2"/>
        <v>0</v>
      </c>
      <c r="AC35">
        <f t="shared" si="3"/>
        <v>0</v>
      </c>
      <c r="AH35">
        <f t="shared" si="4"/>
        <v>0</v>
      </c>
      <c r="AI35">
        <f t="shared" si="5"/>
        <v>0</v>
      </c>
      <c r="AN35">
        <f t="shared" si="6"/>
        <v>0</v>
      </c>
      <c r="AO35">
        <f t="shared" si="7"/>
        <v>0</v>
      </c>
      <c r="AP35">
        <f t="shared" si="8"/>
        <v>0</v>
      </c>
      <c r="AQ35">
        <f t="shared" si="9"/>
        <v>1.3</v>
      </c>
    </row>
    <row r="36" spans="1:43" x14ac:dyDescent="0.2">
      <c r="A36">
        <v>6178931</v>
      </c>
      <c r="B36" t="s">
        <v>47</v>
      </c>
      <c r="C36" t="s">
        <v>70</v>
      </c>
      <c r="D36" t="s">
        <v>72</v>
      </c>
      <c r="E36" t="s">
        <v>84</v>
      </c>
      <c r="M36">
        <v>0.8</v>
      </c>
      <c r="N36">
        <f t="shared" si="0"/>
        <v>0</v>
      </c>
      <c r="O36">
        <f t="shared" si="1"/>
        <v>0.8</v>
      </c>
      <c r="AB36">
        <f t="shared" si="2"/>
        <v>0</v>
      </c>
      <c r="AC36">
        <f t="shared" si="3"/>
        <v>0</v>
      </c>
      <c r="AH36">
        <f t="shared" si="4"/>
        <v>0</v>
      </c>
      <c r="AI36">
        <f t="shared" si="5"/>
        <v>0</v>
      </c>
      <c r="AN36">
        <f t="shared" si="6"/>
        <v>0</v>
      </c>
      <c r="AO36">
        <f t="shared" si="7"/>
        <v>0</v>
      </c>
      <c r="AP36">
        <f t="shared" si="8"/>
        <v>0</v>
      </c>
      <c r="AQ36">
        <f t="shared" si="9"/>
        <v>0.8</v>
      </c>
    </row>
    <row r="37" spans="1:43" x14ac:dyDescent="0.2">
      <c r="A37">
        <v>2718343</v>
      </c>
      <c r="B37" t="s">
        <v>47</v>
      </c>
      <c r="C37" t="s">
        <v>70</v>
      </c>
      <c r="D37" t="s">
        <v>72</v>
      </c>
      <c r="E37" t="s">
        <v>85</v>
      </c>
      <c r="N37">
        <f t="shared" si="0"/>
        <v>0</v>
      </c>
      <c r="O37">
        <f t="shared" si="1"/>
        <v>0</v>
      </c>
      <c r="AB37">
        <f t="shared" si="2"/>
        <v>0</v>
      </c>
      <c r="AC37">
        <f t="shared" si="3"/>
        <v>0</v>
      </c>
      <c r="AH37">
        <f t="shared" si="4"/>
        <v>0</v>
      </c>
      <c r="AI37">
        <f t="shared" si="5"/>
        <v>0</v>
      </c>
      <c r="AN37">
        <f t="shared" si="6"/>
        <v>0</v>
      </c>
      <c r="AO37">
        <f t="shared" si="7"/>
        <v>0</v>
      </c>
      <c r="AP37">
        <f t="shared" si="8"/>
        <v>0</v>
      </c>
      <c r="AQ37">
        <f t="shared" si="9"/>
        <v>0</v>
      </c>
    </row>
    <row r="38" spans="1:43" x14ac:dyDescent="0.2">
      <c r="A38">
        <v>6239991</v>
      </c>
      <c r="B38" t="s">
        <v>47</v>
      </c>
      <c r="C38" t="s">
        <v>70</v>
      </c>
      <c r="D38" t="s">
        <v>72</v>
      </c>
      <c r="E38" t="s">
        <v>86</v>
      </c>
      <c r="N38">
        <f t="shared" si="0"/>
        <v>0</v>
      </c>
      <c r="O38">
        <f t="shared" si="1"/>
        <v>0</v>
      </c>
      <c r="AB38">
        <f t="shared" si="2"/>
        <v>0</v>
      </c>
      <c r="AC38">
        <f t="shared" si="3"/>
        <v>0</v>
      </c>
      <c r="AH38">
        <f t="shared" si="4"/>
        <v>0</v>
      </c>
      <c r="AI38">
        <f t="shared" si="5"/>
        <v>0</v>
      </c>
      <c r="AN38">
        <f t="shared" si="6"/>
        <v>0</v>
      </c>
      <c r="AO38">
        <f t="shared" si="7"/>
        <v>0</v>
      </c>
      <c r="AP38">
        <f t="shared" si="8"/>
        <v>0</v>
      </c>
      <c r="AQ38">
        <f t="shared" si="9"/>
        <v>0</v>
      </c>
    </row>
    <row r="39" spans="1:43" x14ac:dyDescent="0.2">
      <c r="A39">
        <v>2446488</v>
      </c>
      <c r="B39" t="s">
        <v>47</v>
      </c>
      <c r="C39" t="s">
        <v>70</v>
      </c>
      <c r="D39" t="s">
        <v>80</v>
      </c>
      <c r="E39" t="s">
        <v>87</v>
      </c>
      <c r="G39">
        <v>0.2</v>
      </c>
      <c r="N39">
        <f t="shared" si="0"/>
        <v>0</v>
      </c>
      <c r="O39">
        <f t="shared" si="1"/>
        <v>0.2</v>
      </c>
      <c r="AB39">
        <f t="shared" si="2"/>
        <v>0</v>
      </c>
      <c r="AC39">
        <f t="shared" si="3"/>
        <v>0</v>
      </c>
      <c r="AH39">
        <f t="shared" si="4"/>
        <v>0</v>
      </c>
      <c r="AI39">
        <f t="shared" si="5"/>
        <v>0</v>
      </c>
      <c r="AM39">
        <v>2</v>
      </c>
      <c r="AN39">
        <f t="shared" si="6"/>
        <v>0</v>
      </c>
      <c r="AO39">
        <f t="shared" si="7"/>
        <v>2</v>
      </c>
      <c r="AP39">
        <f t="shared" si="8"/>
        <v>0</v>
      </c>
      <c r="AQ39">
        <f t="shared" si="9"/>
        <v>2.2000000000000002</v>
      </c>
    </row>
    <row r="40" spans="1:43" x14ac:dyDescent="0.2">
      <c r="A40">
        <v>205208</v>
      </c>
      <c r="B40" t="s">
        <v>47</v>
      </c>
      <c r="C40" t="s">
        <v>70</v>
      </c>
      <c r="D40" t="s">
        <v>72</v>
      </c>
      <c r="E40" t="s">
        <v>88</v>
      </c>
      <c r="M40">
        <v>1</v>
      </c>
      <c r="N40">
        <f t="shared" si="0"/>
        <v>0</v>
      </c>
      <c r="O40">
        <f t="shared" si="1"/>
        <v>1</v>
      </c>
      <c r="AB40">
        <f t="shared" si="2"/>
        <v>0</v>
      </c>
      <c r="AC40">
        <f t="shared" si="3"/>
        <v>0</v>
      </c>
      <c r="AH40">
        <f t="shared" si="4"/>
        <v>0</v>
      </c>
      <c r="AI40">
        <f t="shared" si="5"/>
        <v>0</v>
      </c>
      <c r="AN40">
        <f t="shared" si="6"/>
        <v>0</v>
      </c>
      <c r="AO40">
        <f t="shared" si="7"/>
        <v>0</v>
      </c>
      <c r="AP40">
        <f t="shared" si="8"/>
        <v>0</v>
      </c>
      <c r="AQ40">
        <f t="shared" si="9"/>
        <v>1</v>
      </c>
    </row>
    <row r="41" spans="1:43" x14ac:dyDescent="0.2">
      <c r="A41">
        <v>1771369</v>
      </c>
      <c r="B41" t="s">
        <v>47</v>
      </c>
      <c r="C41" t="s">
        <v>70</v>
      </c>
      <c r="D41" t="s">
        <v>72</v>
      </c>
      <c r="E41" t="s">
        <v>89</v>
      </c>
      <c r="M41">
        <v>9.3000000000000007</v>
      </c>
      <c r="N41">
        <f t="shared" si="0"/>
        <v>0</v>
      </c>
      <c r="O41">
        <f t="shared" si="1"/>
        <v>9.3000000000000007</v>
      </c>
      <c r="AB41">
        <f t="shared" si="2"/>
        <v>0</v>
      </c>
      <c r="AC41">
        <f t="shared" si="3"/>
        <v>0</v>
      </c>
      <c r="AH41">
        <f t="shared" si="4"/>
        <v>0</v>
      </c>
      <c r="AI41">
        <f t="shared" si="5"/>
        <v>0</v>
      </c>
      <c r="AN41">
        <f t="shared" si="6"/>
        <v>0</v>
      </c>
      <c r="AO41">
        <f t="shared" si="7"/>
        <v>0</v>
      </c>
      <c r="AP41">
        <f t="shared" si="8"/>
        <v>0</v>
      </c>
      <c r="AQ41">
        <f t="shared" si="9"/>
        <v>9.3000000000000007</v>
      </c>
    </row>
    <row r="42" spans="1:43" x14ac:dyDescent="0.2">
      <c r="A42">
        <v>2446492</v>
      </c>
      <c r="B42" t="s">
        <v>47</v>
      </c>
      <c r="C42" t="s">
        <v>70</v>
      </c>
      <c r="D42" t="s">
        <v>72</v>
      </c>
      <c r="E42" t="s">
        <v>90</v>
      </c>
      <c r="M42">
        <v>2.1</v>
      </c>
      <c r="N42">
        <f t="shared" si="0"/>
        <v>0</v>
      </c>
      <c r="O42">
        <f t="shared" si="1"/>
        <v>2.1</v>
      </c>
      <c r="AB42">
        <f t="shared" si="2"/>
        <v>0</v>
      </c>
      <c r="AC42">
        <f t="shared" si="3"/>
        <v>0</v>
      </c>
      <c r="AH42">
        <f t="shared" si="4"/>
        <v>0</v>
      </c>
      <c r="AI42">
        <f t="shared" si="5"/>
        <v>0</v>
      </c>
      <c r="AN42">
        <f t="shared" si="6"/>
        <v>0</v>
      </c>
      <c r="AO42">
        <f t="shared" si="7"/>
        <v>0</v>
      </c>
      <c r="AP42">
        <f t="shared" si="8"/>
        <v>0</v>
      </c>
      <c r="AQ42">
        <f t="shared" si="9"/>
        <v>2.1</v>
      </c>
    </row>
    <row r="43" spans="1:43" x14ac:dyDescent="0.2">
      <c r="A43">
        <v>205240</v>
      </c>
      <c r="B43" t="s">
        <v>47</v>
      </c>
      <c r="C43" t="s">
        <v>70</v>
      </c>
      <c r="D43" t="s">
        <v>72</v>
      </c>
      <c r="E43" t="s">
        <v>91</v>
      </c>
      <c r="G43">
        <v>0.3</v>
      </c>
      <c r="M43">
        <v>8</v>
      </c>
      <c r="N43">
        <f t="shared" si="0"/>
        <v>0</v>
      </c>
      <c r="O43">
        <f t="shared" si="1"/>
        <v>8.3000000000000007</v>
      </c>
      <c r="AB43">
        <f t="shared" si="2"/>
        <v>0</v>
      </c>
      <c r="AC43">
        <f t="shared" si="3"/>
        <v>0</v>
      </c>
      <c r="AE43">
        <v>1.1000000000000001</v>
      </c>
      <c r="AH43">
        <f t="shared" si="4"/>
        <v>0</v>
      </c>
      <c r="AI43">
        <f t="shared" si="5"/>
        <v>1.1000000000000001</v>
      </c>
      <c r="AN43">
        <f t="shared" si="6"/>
        <v>0</v>
      </c>
      <c r="AO43">
        <f t="shared" si="7"/>
        <v>0</v>
      </c>
      <c r="AP43">
        <f t="shared" si="8"/>
        <v>0</v>
      </c>
      <c r="AQ43">
        <f t="shared" si="9"/>
        <v>9.4</v>
      </c>
    </row>
    <row r="44" spans="1:43" x14ac:dyDescent="0.2">
      <c r="A44">
        <v>205229</v>
      </c>
      <c r="B44" t="s">
        <v>47</v>
      </c>
      <c r="C44" t="s">
        <v>70</v>
      </c>
      <c r="D44" t="s">
        <v>92</v>
      </c>
      <c r="E44" t="s">
        <v>93</v>
      </c>
      <c r="I44">
        <v>1.5</v>
      </c>
      <c r="K44">
        <v>3</v>
      </c>
      <c r="N44">
        <f t="shared" si="0"/>
        <v>0</v>
      </c>
      <c r="O44">
        <f t="shared" si="1"/>
        <v>4.5</v>
      </c>
      <c r="AB44">
        <f t="shared" si="2"/>
        <v>0</v>
      </c>
      <c r="AC44">
        <f t="shared" si="3"/>
        <v>0</v>
      </c>
      <c r="AH44">
        <f t="shared" si="4"/>
        <v>0</v>
      </c>
      <c r="AI44">
        <f t="shared" si="5"/>
        <v>0</v>
      </c>
      <c r="AN44">
        <f t="shared" si="6"/>
        <v>0</v>
      </c>
      <c r="AO44">
        <f t="shared" si="7"/>
        <v>0</v>
      </c>
      <c r="AP44">
        <f t="shared" si="8"/>
        <v>0</v>
      </c>
      <c r="AQ44">
        <f t="shared" si="9"/>
        <v>4.5</v>
      </c>
    </row>
    <row r="45" spans="1:43" x14ac:dyDescent="0.2">
      <c r="A45">
        <v>2498125</v>
      </c>
      <c r="B45" t="s">
        <v>94</v>
      </c>
      <c r="C45" t="s">
        <v>95</v>
      </c>
      <c r="D45" t="s">
        <v>96</v>
      </c>
      <c r="E45" t="s">
        <v>97</v>
      </c>
      <c r="N45">
        <f t="shared" si="0"/>
        <v>0</v>
      </c>
      <c r="O45">
        <f t="shared" si="1"/>
        <v>0</v>
      </c>
      <c r="AB45">
        <f t="shared" si="2"/>
        <v>0</v>
      </c>
      <c r="AC45">
        <f t="shared" si="3"/>
        <v>0</v>
      </c>
      <c r="AH45">
        <f t="shared" si="4"/>
        <v>0</v>
      </c>
      <c r="AI45">
        <f t="shared" si="5"/>
        <v>0</v>
      </c>
      <c r="AN45">
        <f t="shared" si="6"/>
        <v>0</v>
      </c>
      <c r="AO45">
        <f t="shared" si="7"/>
        <v>0</v>
      </c>
      <c r="AP45">
        <f t="shared" si="8"/>
        <v>0</v>
      </c>
      <c r="AQ45">
        <f t="shared" si="9"/>
        <v>0</v>
      </c>
    </row>
    <row r="46" spans="1:43" x14ac:dyDescent="0.2">
      <c r="B46" t="s">
        <v>94</v>
      </c>
      <c r="C46" t="s">
        <v>95</v>
      </c>
      <c r="D46" t="s">
        <v>98</v>
      </c>
      <c r="E46" t="s">
        <v>99</v>
      </c>
      <c r="I46">
        <v>1.2</v>
      </c>
      <c r="N46">
        <f t="shared" si="0"/>
        <v>0</v>
      </c>
      <c r="O46">
        <f t="shared" si="1"/>
        <v>1.2</v>
      </c>
      <c r="AB46">
        <f t="shared" si="2"/>
        <v>0</v>
      </c>
      <c r="AC46">
        <f t="shared" si="3"/>
        <v>0</v>
      </c>
      <c r="AH46">
        <f t="shared" si="4"/>
        <v>0</v>
      </c>
      <c r="AI46">
        <f t="shared" si="5"/>
        <v>0</v>
      </c>
      <c r="AN46">
        <f t="shared" si="6"/>
        <v>0</v>
      </c>
      <c r="AO46">
        <f t="shared" si="7"/>
        <v>0</v>
      </c>
      <c r="AP46">
        <f t="shared" si="8"/>
        <v>0</v>
      </c>
      <c r="AQ46">
        <f t="shared" si="9"/>
        <v>1.2</v>
      </c>
    </row>
    <row r="47" spans="1:43" x14ac:dyDescent="0.2">
      <c r="A47">
        <v>1875431</v>
      </c>
      <c r="B47" t="s">
        <v>94</v>
      </c>
      <c r="C47" t="s">
        <v>95</v>
      </c>
      <c r="D47" t="s">
        <v>100</v>
      </c>
      <c r="E47" t="s">
        <v>101</v>
      </c>
      <c r="N47">
        <f t="shared" si="0"/>
        <v>0</v>
      </c>
      <c r="O47">
        <f t="shared" si="1"/>
        <v>0</v>
      </c>
      <c r="AB47">
        <f t="shared" si="2"/>
        <v>0</v>
      </c>
      <c r="AC47">
        <f t="shared" si="3"/>
        <v>0</v>
      </c>
      <c r="AH47">
        <f t="shared" si="4"/>
        <v>0</v>
      </c>
      <c r="AI47">
        <f t="shared" si="5"/>
        <v>0</v>
      </c>
      <c r="AN47">
        <f t="shared" si="6"/>
        <v>0</v>
      </c>
      <c r="AO47">
        <f t="shared" si="7"/>
        <v>0</v>
      </c>
      <c r="AP47">
        <f t="shared" si="8"/>
        <v>0</v>
      </c>
      <c r="AQ47">
        <f t="shared" si="9"/>
        <v>0</v>
      </c>
    </row>
    <row r="48" spans="1:43" x14ac:dyDescent="0.2">
      <c r="A48">
        <v>1875440</v>
      </c>
      <c r="B48" t="s">
        <v>94</v>
      </c>
      <c r="C48" t="s">
        <v>95</v>
      </c>
      <c r="D48" t="s">
        <v>102</v>
      </c>
      <c r="E48" t="s">
        <v>103</v>
      </c>
      <c r="N48">
        <f t="shared" si="0"/>
        <v>0</v>
      </c>
      <c r="O48">
        <f t="shared" si="1"/>
        <v>0</v>
      </c>
      <c r="AB48">
        <f t="shared" si="2"/>
        <v>0</v>
      </c>
      <c r="AC48">
        <f t="shared" si="3"/>
        <v>0</v>
      </c>
      <c r="AH48">
        <f t="shared" si="4"/>
        <v>0</v>
      </c>
      <c r="AI48">
        <f t="shared" si="5"/>
        <v>0</v>
      </c>
      <c r="AN48">
        <f t="shared" si="6"/>
        <v>0</v>
      </c>
      <c r="AO48">
        <f t="shared" si="7"/>
        <v>0</v>
      </c>
      <c r="AP48">
        <f t="shared" si="8"/>
        <v>0</v>
      </c>
      <c r="AQ48">
        <f t="shared" si="9"/>
        <v>0</v>
      </c>
    </row>
    <row r="49" spans="1:43" x14ac:dyDescent="0.2">
      <c r="A49">
        <v>1875450</v>
      </c>
      <c r="B49" t="s">
        <v>94</v>
      </c>
      <c r="C49" t="s">
        <v>95</v>
      </c>
      <c r="D49" t="s">
        <v>104</v>
      </c>
      <c r="E49" t="s">
        <v>105</v>
      </c>
      <c r="N49">
        <f t="shared" si="0"/>
        <v>0</v>
      </c>
      <c r="O49">
        <f t="shared" si="1"/>
        <v>0</v>
      </c>
      <c r="AB49">
        <f t="shared" si="2"/>
        <v>0</v>
      </c>
      <c r="AC49">
        <f t="shared" si="3"/>
        <v>0</v>
      </c>
      <c r="AH49">
        <f t="shared" si="4"/>
        <v>0</v>
      </c>
      <c r="AI49">
        <f t="shared" si="5"/>
        <v>0</v>
      </c>
      <c r="AN49">
        <f t="shared" si="6"/>
        <v>0</v>
      </c>
      <c r="AO49">
        <f t="shared" si="7"/>
        <v>0</v>
      </c>
      <c r="AP49">
        <f t="shared" si="8"/>
        <v>0</v>
      </c>
      <c r="AQ49">
        <f t="shared" si="9"/>
        <v>0</v>
      </c>
    </row>
    <row r="50" spans="1:43" x14ac:dyDescent="0.2">
      <c r="A50">
        <v>1875453</v>
      </c>
      <c r="B50" t="s">
        <v>94</v>
      </c>
      <c r="C50" t="s">
        <v>95</v>
      </c>
      <c r="D50" t="s">
        <v>102</v>
      </c>
      <c r="E50" t="s">
        <v>106</v>
      </c>
      <c r="I50">
        <v>3.4</v>
      </c>
      <c r="N50">
        <f t="shared" si="0"/>
        <v>0</v>
      </c>
      <c r="O50">
        <f t="shared" si="1"/>
        <v>3.4</v>
      </c>
      <c r="V50">
        <v>2.9</v>
      </c>
      <c r="AB50">
        <f t="shared" si="2"/>
        <v>2.9</v>
      </c>
      <c r="AC50">
        <f t="shared" si="3"/>
        <v>0</v>
      </c>
      <c r="AH50">
        <f t="shared" si="4"/>
        <v>0</v>
      </c>
      <c r="AI50">
        <f t="shared" si="5"/>
        <v>0</v>
      </c>
      <c r="AM50">
        <v>3</v>
      </c>
      <c r="AN50">
        <f t="shared" si="6"/>
        <v>0</v>
      </c>
      <c r="AO50">
        <f t="shared" si="7"/>
        <v>3</v>
      </c>
      <c r="AP50">
        <f t="shared" si="8"/>
        <v>2.9</v>
      </c>
      <c r="AQ50">
        <f t="shared" si="9"/>
        <v>6.4</v>
      </c>
    </row>
    <row r="51" spans="1:43" x14ac:dyDescent="0.2">
      <c r="A51">
        <v>6697490</v>
      </c>
      <c r="B51" t="s">
        <v>94</v>
      </c>
      <c r="C51" t="s">
        <v>95</v>
      </c>
      <c r="D51" t="s">
        <v>107</v>
      </c>
      <c r="E51" t="s">
        <v>108</v>
      </c>
      <c r="N51">
        <f t="shared" si="0"/>
        <v>0</v>
      </c>
      <c r="O51">
        <f t="shared" si="1"/>
        <v>0</v>
      </c>
      <c r="AB51">
        <f t="shared" si="2"/>
        <v>0</v>
      </c>
      <c r="AC51">
        <f t="shared" si="3"/>
        <v>0</v>
      </c>
      <c r="AH51">
        <f t="shared" si="4"/>
        <v>0</v>
      </c>
      <c r="AI51">
        <f t="shared" si="5"/>
        <v>0</v>
      </c>
      <c r="AN51">
        <f t="shared" si="6"/>
        <v>0</v>
      </c>
      <c r="AO51">
        <f t="shared" si="7"/>
        <v>0</v>
      </c>
      <c r="AP51">
        <f t="shared" si="8"/>
        <v>0</v>
      </c>
      <c r="AQ51">
        <f t="shared" si="9"/>
        <v>0</v>
      </c>
    </row>
    <row r="52" spans="1:43" x14ac:dyDescent="0.2">
      <c r="B52" t="s">
        <v>94</v>
      </c>
      <c r="C52" t="s">
        <v>95</v>
      </c>
      <c r="D52" t="s">
        <v>109</v>
      </c>
      <c r="E52" t="s">
        <v>110</v>
      </c>
      <c r="N52">
        <f t="shared" si="0"/>
        <v>0</v>
      </c>
      <c r="O52">
        <f t="shared" si="1"/>
        <v>0</v>
      </c>
      <c r="AB52">
        <f t="shared" si="2"/>
        <v>0</v>
      </c>
      <c r="AC52">
        <f t="shared" si="3"/>
        <v>0</v>
      </c>
      <c r="AH52">
        <f t="shared" si="4"/>
        <v>0</v>
      </c>
      <c r="AI52">
        <f t="shared" si="5"/>
        <v>0</v>
      </c>
      <c r="AN52">
        <f t="shared" si="6"/>
        <v>0</v>
      </c>
      <c r="AO52">
        <f t="shared" si="7"/>
        <v>0</v>
      </c>
      <c r="AP52">
        <f t="shared" si="8"/>
        <v>0</v>
      </c>
      <c r="AQ52">
        <f t="shared" si="9"/>
        <v>0</v>
      </c>
    </row>
    <row r="53" spans="1:43" x14ac:dyDescent="0.2">
      <c r="A53">
        <v>273280</v>
      </c>
      <c r="B53" t="s">
        <v>94</v>
      </c>
      <c r="C53" t="s">
        <v>95</v>
      </c>
      <c r="D53" t="s">
        <v>107</v>
      </c>
      <c r="E53" t="s">
        <v>111</v>
      </c>
      <c r="I53">
        <v>3.1</v>
      </c>
      <c r="N53">
        <f t="shared" si="0"/>
        <v>0</v>
      </c>
      <c r="O53">
        <f t="shared" si="1"/>
        <v>3.1</v>
      </c>
      <c r="V53">
        <v>3</v>
      </c>
      <c r="AB53">
        <f t="shared" si="2"/>
        <v>3</v>
      </c>
      <c r="AC53">
        <f t="shared" si="3"/>
        <v>0</v>
      </c>
      <c r="AH53">
        <f t="shared" si="4"/>
        <v>0</v>
      </c>
      <c r="AI53">
        <f t="shared" si="5"/>
        <v>0</v>
      </c>
      <c r="AN53">
        <f t="shared" si="6"/>
        <v>0</v>
      </c>
      <c r="AO53">
        <f t="shared" si="7"/>
        <v>0</v>
      </c>
      <c r="AP53">
        <f t="shared" si="8"/>
        <v>3</v>
      </c>
      <c r="AQ53">
        <f t="shared" si="9"/>
        <v>3.1</v>
      </c>
    </row>
    <row r="54" spans="1:43" x14ac:dyDescent="0.2">
      <c r="A54">
        <v>2181417</v>
      </c>
      <c r="B54" t="s">
        <v>94</v>
      </c>
      <c r="C54" t="s">
        <v>95</v>
      </c>
      <c r="D54" t="s">
        <v>112</v>
      </c>
      <c r="E54" t="s">
        <v>113</v>
      </c>
      <c r="I54">
        <v>0.8</v>
      </c>
      <c r="N54">
        <f t="shared" si="0"/>
        <v>0</v>
      </c>
      <c r="O54">
        <f t="shared" si="1"/>
        <v>0.8</v>
      </c>
      <c r="AB54">
        <f t="shared" si="2"/>
        <v>0</v>
      </c>
      <c r="AC54">
        <f t="shared" si="3"/>
        <v>0</v>
      </c>
      <c r="AH54">
        <f t="shared" si="4"/>
        <v>0</v>
      </c>
      <c r="AI54">
        <f t="shared" si="5"/>
        <v>0</v>
      </c>
      <c r="AN54">
        <f t="shared" si="6"/>
        <v>0</v>
      </c>
      <c r="AO54">
        <f t="shared" si="7"/>
        <v>0</v>
      </c>
      <c r="AP54">
        <f t="shared" si="8"/>
        <v>0</v>
      </c>
      <c r="AQ54">
        <f t="shared" si="9"/>
        <v>0.8</v>
      </c>
    </row>
    <row r="55" spans="1:43" x14ac:dyDescent="0.2">
      <c r="B55" t="s">
        <v>94</v>
      </c>
      <c r="C55" t="s">
        <v>40</v>
      </c>
      <c r="D55" t="s">
        <v>114</v>
      </c>
      <c r="E55" t="s">
        <v>115</v>
      </c>
      <c r="N55">
        <f t="shared" si="0"/>
        <v>0</v>
      </c>
      <c r="O55">
        <f t="shared" si="1"/>
        <v>0</v>
      </c>
      <c r="AB55">
        <f t="shared" si="2"/>
        <v>0</v>
      </c>
      <c r="AC55">
        <f t="shared" si="3"/>
        <v>0</v>
      </c>
      <c r="AH55">
        <f t="shared" si="4"/>
        <v>0</v>
      </c>
      <c r="AI55">
        <f t="shared" si="5"/>
        <v>0</v>
      </c>
      <c r="AN55">
        <f t="shared" si="6"/>
        <v>0</v>
      </c>
      <c r="AO55">
        <f t="shared" si="7"/>
        <v>0</v>
      </c>
      <c r="AP55">
        <f t="shared" si="8"/>
        <v>0</v>
      </c>
      <c r="AQ55">
        <f t="shared" si="9"/>
        <v>0</v>
      </c>
    </row>
    <row r="56" spans="1:43" x14ac:dyDescent="0.2">
      <c r="B56" t="s">
        <v>94</v>
      </c>
      <c r="C56" t="s">
        <v>116</v>
      </c>
      <c r="D56" t="s">
        <v>109</v>
      </c>
      <c r="E56" t="s">
        <v>117</v>
      </c>
      <c r="I56">
        <v>7.7</v>
      </c>
      <c r="N56">
        <f t="shared" si="0"/>
        <v>0</v>
      </c>
      <c r="O56">
        <f t="shared" si="1"/>
        <v>7.7</v>
      </c>
      <c r="V56">
        <v>2</v>
      </c>
      <c r="AB56">
        <f t="shared" si="2"/>
        <v>2</v>
      </c>
      <c r="AC56">
        <f t="shared" si="3"/>
        <v>0</v>
      </c>
      <c r="AG56">
        <v>0.3</v>
      </c>
      <c r="AH56">
        <f t="shared" si="4"/>
        <v>0</v>
      </c>
      <c r="AI56">
        <f t="shared" si="5"/>
        <v>0.3</v>
      </c>
      <c r="AM56">
        <v>4</v>
      </c>
      <c r="AN56">
        <f t="shared" si="6"/>
        <v>0</v>
      </c>
      <c r="AO56">
        <f t="shared" si="7"/>
        <v>4</v>
      </c>
      <c r="AP56">
        <f t="shared" si="8"/>
        <v>2</v>
      </c>
      <c r="AQ56">
        <f t="shared" si="9"/>
        <v>12</v>
      </c>
    </row>
    <row r="57" spans="1:43" x14ac:dyDescent="0.2">
      <c r="B57" t="s">
        <v>94</v>
      </c>
      <c r="C57" t="s">
        <v>118</v>
      </c>
      <c r="D57" t="s">
        <v>119</v>
      </c>
      <c r="E57" t="s">
        <v>120</v>
      </c>
      <c r="N57">
        <f t="shared" si="0"/>
        <v>0</v>
      </c>
      <c r="O57">
        <f t="shared" si="1"/>
        <v>0</v>
      </c>
      <c r="V57">
        <v>1.7</v>
      </c>
      <c r="AB57">
        <f t="shared" si="2"/>
        <v>1.7</v>
      </c>
      <c r="AC57">
        <f t="shared" si="3"/>
        <v>0</v>
      </c>
      <c r="AH57">
        <f t="shared" si="4"/>
        <v>0</v>
      </c>
      <c r="AI57">
        <f t="shared" si="5"/>
        <v>0</v>
      </c>
      <c r="AN57">
        <f t="shared" si="6"/>
        <v>0</v>
      </c>
      <c r="AO57">
        <f t="shared" si="7"/>
        <v>0</v>
      </c>
      <c r="AP57">
        <f t="shared" si="8"/>
        <v>1.7</v>
      </c>
      <c r="AQ57">
        <f t="shared" si="9"/>
        <v>0</v>
      </c>
    </row>
    <row r="58" spans="1:43" x14ac:dyDescent="0.2">
      <c r="A58">
        <v>7029531</v>
      </c>
      <c r="B58" t="s">
        <v>121</v>
      </c>
      <c r="C58" t="s">
        <v>122</v>
      </c>
      <c r="D58" t="s">
        <v>123</v>
      </c>
      <c r="E58" t="s">
        <v>124</v>
      </c>
      <c r="K58">
        <v>4</v>
      </c>
      <c r="N58">
        <f t="shared" si="0"/>
        <v>0</v>
      </c>
      <c r="O58">
        <f t="shared" si="1"/>
        <v>4</v>
      </c>
      <c r="AB58">
        <f t="shared" si="2"/>
        <v>0</v>
      </c>
      <c r="AC58">
        <f t="shared" si="3"/>
        <v>0</v>
      </c>
      <c r="AH58">
        <f t="shared" si="4"/>
        <v>0</v>
      </c>
      <c r="AI58">
        <f t="shared" si="5"/>
        <v>0</v>
      </c>
      <c r="AN58">
        <f t="shared" si="6"/>
        <v>0</v>
      </c>
      <c r="AO58">
        <f t="shared" si="7"/>
        <v>0</v>
      </c>
      <c r="AP58">
        <f t="shared" si="8"/>
        <v>0</v>
      </c>
      <c r="AQ58">
        <f t="shared" si="9"/>
        <v>4</v>
      </c>
    </row>
    <row r="59" spans="1:43" x14ac:dyDescent="0.2">
      <c r="A59">
        <v>3081192</v>
      </c>
      <c r="B59" t="s">
        <v>121</v>
      </c>
      <c r="C59" t="s">
        <v>122</v>
      </c>
      <c r="D59" t="s">
        <v>125</v>
      </c>
      <c r="E59" t="s">
        <v>126</v>
      </c>
      <c r="K59">
        <v>62</v>
      </c>
      <c r="N59">
        <f t="shared" si="0"/>
        <v>0</v>
      </c>
      <c r="O59">
        <f t="shared" si="1"/>
        <v>62</v>
      </c>
      <c r="Q59">
        <v>16</v>
      </c>
      <c r="W59">
        <v>10</v>
      </c>
      <c r="AB59">
        <f t="shared" si="2"/>
        <v>0</v>
      </c>
      <c r="AC59">
        <f t="shared" si="3"/>
        <v>26</v>
      </c>
      <c r="AH59">
        <f t="shared" si="4"/>
        <v>0</v>
      </c>
      <c r="AI59">
        <f t="shared" si="5"/>
        <v>0</v>
      </c>
      <c r="AN59">
        <f t="shared" si="6"/>
        <v>0</v>
      </c>
      <c r="AO59">
        <f t="shared" si="7"/>
        <v>0</v>
      </c>
      <c r="AP59">
        <f t="shared" si="8"/>
        <v>0</v>
      </c>
      <c r="AQ59">
        <f t="shared" si="9"/>
        <v>88</v>
      </c>
    </row>
    <row r="60" spans="1:43" x14ac:dyDescent="0.2">
      <c r="B60" t="s">
        <v>121</v>
      </c>
      <c r="C60" t="s">
        <v>122</v>
      </c>
      <c r="D60" t="s">
        <v>127</v>
      </c>
      <c r="E60" t="s">
        <v>128</v>
      </c>
      <c r="K60">
        <v>14</v>
      </c>
      <c r="N60">
        <f t="shared" si="0"/>
        <v>0</v>
      </c>
      <c r="O60">
        <f t="shared" si="1"/>
        <v>14</v>
      </c>
      <c r="Q60">
        <v>6</v>
      </c>
      <c r="W60">
        <v>22</v>
      </c>
      <c r="AB60">
        <f t="shared" si="2"/>
        <v>0</v>
      </c>
      <c r="AC60">
        <f t="shared" si="3"/>
        <v>28</v>
      </c>
      <c r="AH60">
        <f t="shared" si="4"/>
        <v>0</v>
      </c>
      <c r="AI60">
        <f t="shared" si="5"/>
        <v>0</v>
      </c>
      <c r="AK60">
        <v>9</v>
      </c>
      <c r="AN60">
        <f t="shared" si="6"/>
        <v>0</v>
      </c>
      <c r="AO60">
        <f t="shared" si="7"/>
        <v>9</v>
      </c>
      <c r="AP60">
        <f t="shared" si="8"/>
        <v>0</v>
      </c>
      <c r="AQ60">
        <f t="shared" si="9"/>
        <v>51</v>
      </c>
    </row>
    <row r="61" spans="1:43" x14ac:dyDescent="0.2">
      <c r="A61">
        <v>374690</v>
      </c>
      <c r="B61" t="s">
        <v>121</v>
      </c>
      <c r="C61" t="s">
        <v>122</v>
      </c>
      <c r="D61" t="s">
        <v>129</v>
      </c>
      <c r="E61" t="s">
        <v>130</v>
      </c>
      <c r="K61">
        <v>16</v>
      </c>
      <c r="N61">
        <f t="shared" si="0"/>
        <v>0</v>
      </c>
      <c r="O61">
        <f t="shared" si="1"/>
        <v>16</v>
      </c>
      <c r="Q61">
        <v>1</v>
      </c>
      <c r="AB61">
        <f t="shared" si="2"/>
        <v>0</v>
      </c>
      <c r="AC61">
        <f t="shared" si="3"/>
        <v>1</v>
      </c>
      <c r="AH61">
        <f t="shared" si="4"/>
        <v>0</v>
      </c>
      <c r="AI61">
        <f t="shared" si="5"/>
        <v>0</v>
      </c>
      <c r="AK61">
        <v>2</v>
      </c>
      <c r="AN61">
        <f t="shared" si="6"/>
        <v>0</v>
      </c>
      <c r="AO61">
        <f t="shared" si="7"/>
        <v>2</v>
      </c>
      <c r="AP61">
        <f t="shared" si="8"/>
        <v>0</v>
      </c>
      <c r="AQ61">
        <f t="shared" si="9"/>
        <v>19</v>
      </c>
    </row>
    <row r="62" spans="1:43" x14ac:dyDescent="0.2">
      <c r="A62">
        <v>1677821</v>
      </c>
      <c r="B62" t="s">
        <v>121</v>
      </c>
      <c r="C62" t="s">
        <v>122</v>
      </c>
      <c r="D62" t="s">
        <v>131</v>
      </c>
      <c r="E62" t="s">
        <v>132</v>
      </c>
      <c r="I62">
        <v>40</v>
      </c>
      <c r="K62">
        <v>100</v>
      </c>
      <c r="N62">
        <f t="shared" si="0"/>
        <v>0</v>
      </c>
      <c r="O62">
        <f t="shared" si="1"/>
        <v>140</v>
      </c>
      <c r="W62">
        <v>22</v>
      </c>
      <c r="AB62">
        <f t="shared" si="2"/>
        <v>0</v>
      </c>
      <c r="AC62">
        <f t="shared" si="3"/>
        <v>22</v>
      </c>
      <c r="AH62">
        <f t="shared" si="4"/>
        <v>0</v>
      </c>
      <c r="AI62">
        <f t="shared" si="5"/>
        <v>0</v>
      </c>
      <c r="AK62">
        <v>8</v>
      </c>
      <c r="AN62">
        <f t="shared" si="6"/>
        <v>0</v>
      </c>
      <c r="AO62">
        <f t="shared" si="7"/>
        <v>8</v>
      </c>
      <c r="AP62">
        <f t="shared" si="8"/>
        <v>0</v>
      </c>
      <c r="AQ62">
        <f t="shared" si="9"/>
        <v>170</v>
      </c>
    </row>
    <row r="63" spans="1:43" x14ac:dyDescent="0.2">
      <c r="A63">
        <v>7029537</v>
      </c>
      <c r="B63" t="s">
        <v>121</v>
      </c>
      <c r="C63" t="s">
        <v>122</v>
      </c>
      <c r="D63" t="s">
        <v>133</v>
      </c>
      <c r="E63" t="s">
        <v>134</v>
      </c>
      <c r="N63">
        <f t="shared" si="0"/>
        <v>0</v>
      </c>
      <c r="O63">
        <f t="shared" si="1"/>
        <v>0</v>
      </c>
      <c r="AB63">
        <f t="shared" si="2"/>
        <v>0</v>
      </c>
      <c r="AC63">
        <f t="shared" si="3"/>
        <v>0</v>
      </c>
      <c r="AH63">
        <f t="shared" si="4"/>
        <v>0</v>
      </c>
      <c r="AI63">
        <f t="shared" si="5"/>
        <v>0</v>
      </c>
      <c r="AN63">
        <f t="shared" si="6"/>
        <v>0</v>
      </c>
      <c r="AO63">
        <f t="shared" si="7"/>
        <v>0</v>
      </c>
      <c r="AP63">
        <f t="shared" si="8"/>
        <v>0</v>
      </c>
      <c r="AQ63">
        <f t="shared" si="9"/>
        <v>0</v>
      </c>
    </row>
    <row r="64" spans="1:43" x14ac:dyDescent="0.2">
      <c r="A64">
        <v>1083170</v>
      </c>
      <c r="B64" t="s">
        <v>121</v>
      </c>
      <c r="C64" t="s">
        <v>122</v>
      </c>
      <c r="D64" t="s">
        <v>135</v>
      </c>
      <c r="E64" t="s">
        <v>136</v>
      </c>
      <c r="K64">
        <v>4</v>
      </c>
      <c r="N64">
        <f t="shared" si="0"/>
        <v>0</v>
      </c>
      <c r="O64">
        <f t="shared" si="1"/>
        <v>4</v>
      </c>
      <c r="AB64">
        <f t="shared" si="2"/>
        <v>0</v>
      </c>
      <c r="AC64">
        <f t="shared" si="3"/>
        <v>0</v>
      </c>
      <c r="AH64">
        <f t="shared" si="4"/>
        <v>0</v>
      </c>
      <c r="AI64">
        <f t="shared" si="5"/>
        <v>0</v>
      </c>
      <c r="AN64">
        <f t="shared" si="6"/>
        <v>0</v>
      </c>
      <c r="AO64">
        <f t="shared" si="7"/>
        <v>0</v>
      </c>
      <c r="AP64">
        <f t="shared" si="8"/>
        <v>0</v>
      </c>
      <c r="AQ64">
        <f t="shared" si="9"/>
        <v>4</v>
      </c>
    </row>
    <row r="65" spans="1:43" x14ac:dyDescent="0.2">
      <c r="A65">
        <v>272027</v>
      </c>
      <c r="B65" t="s">
        <v>121</v>
      </c>
      <c r="C65" t="s">
        <v>137</v>
      </c>
      <c r="D65" t="s">
        <v>138</v>
      </c>
      <c r="E65" t="s">
        <v>139</v>
      </c>
      <c r="K65">
        <v>1</v>
      </c>
      <c r="N65">
        <f t="shared" si="0"/>
        <v>0</v>
      </c>
      <c r="O65">
        <f t="shared" si="1"/>
        <v>1</v>
      </c>
      <c r="AB65">
        <f t="shared" si="2"/>
        <v>0</v>
      </c>
      <c r="AC65">
        <f t="shared" si="3"/>
        <v>0</v>
      </c>
      <c r="AH65">
        <f t="shared" si="4"/>
        <v>0</v>
      </c>
      <c r="AI65">
        <f t="shared" si="5"/>
        <v>0</v>
      </c>
      <c r="AN65">
        <f t="shared" si="6"/>
        <v>0</v>
      </c>
      <c r="AO65">
        <f t="shared" si="7"/>
        <v>0</v>
      </c>
      <c r="AP65">
        <f t="shared" si="8"/>
        <v>0</v>
      </c>
      <c r="AQ65">
        <f t="shared" si="9"/>
        <v>1</v>
      </c>
    </row>
    <row r="66" spans="1:43" x14ac:dyDescent="0.2">
      <c r="A66">
        <v>7343583</v>
      </c>
      <c r="B66" t="s">
        <v>121</v>
      </c>
      <c r="C66" t="s">
        <v>137</v>
      </c>
      <c r="D66" t="s">
        <v>140</v>
      </c>
      <c r="E66" t="s">
        <v>141</v>
      </c>
      <c r="K66">
        <v>2</v>
      </c>
      <c r="N66">
        <f t="shared" si="0"/>
        <v>0</v>
      </c>
      <c r="O66">
        <f t="shared" si="1"/>
        <v>2</v>
      </c>
      <c r="AB66">
        <f t="shared" si="2"/>
        <v>0</v>
      </c>
      <c r="AC66">
        <f t="shared" si="3"/>
        <v>0</v>
      </c>
      <c r="AH66">
        <f t="shared" si="4"/>
        <v>0</v>
      </c>
      <c r="AI66">
        <f t="shared" si="5"/>
        <v>0</v>
      </c>
      <c r="AN66">
        <f t="shared" si="6"/>
        <v>0</v>
      </c>
      <c r="AO66">
        <f t="shared" si="7"/>
        <v>0</v>
      </c>
      <c r="AP66">
        <f t="shared" si="8"/>
        <v>0</v>
      </c>
      <c r="AQ66">
        <f t="shared" si="9"/>
        <v>2</v>
      </c>
    </row>
    <row r="67" spans="1:43" x14ac:dyDescent="0.2">
      <c r="A67">
        <v>5589427</v>
      </c>
      <c r="B67" t="s">
        <v>142</v>
      </c>
      <c r="C67" t="s">
        <v>143</v>
      </c>
      <c r="D67" t="s">
        <v>144</v>
      </c>
      <c r="E67" t="s">
        <v>145</v>
      </c>
      <c r="G67">
        <v>0.3</v>
      </c>
      <c r="K67">
        <v>29</v>
      </c>
      <c r="N67">
        <f t="shared" ref="N67:N130" si="10">SUM(F67,H67,J67,L67)</f>
        <v>0</v>
      </c>
      <c r="O67">
        <f t="shared" ref="O67:O130" si="11">SUM(G67,I67,K67,M67)</f>
        <v>29.3</v>
      </c>
      <c r="Y67">
        <v>4.5999999999999996</v>
      </c>
      <c r="AB67">
        <f t="shared" ref="AB67:AB130" si="12">SUM(P67,R67,T67,V67,X67,Z67)</f>
        <v>0</v>
      </c>
      <c r="AC67">
        <f t="shared" ref="AC67:AC130" si="13">SUM(Q67,S67,U67,W67,Y67,AA67)</f>
        <v>4.5999999999999996</v>
      </c>
      <c r="AE67">
        <v>4</v>
      </c>
      <c r="AH67">
        <f t="shared" ref="AH67:AH130" si="14">SUM(AD67,AF67)</f>
        <v>0</v>
      </c>
      <c r="AI67">
        <f t="shared" ref="AI67:AI130" si="15">SUM(AE67,AG67)</f>
        <v>4</v>
      </c>
      <c r="AN67">
        <f t="shared" ref="AN67:AN130" si="16">SUM(AJ67,AL67)</f>
        <v>0</v>
      </c>
      <c r="AO67">
        <f t="shared" ref="AO67:AO130" si="17">SUM(AK67,AM67)</f>
        <v>0</v>
      </c>
      <c r="AP67">
        <f t="shared" ref="AP67:AP130" si="18">SUM(N67,AB67,AH67,AN67)</f>
        <v>0</v>
      </c>
      <c r="AQ67">
        <f t="shared" ref="AQ67:AQ130" si="19">SUM(O67,AC67,AI67,AO67)</f>
        <v>37.9</v>
      </c>
    </row>
    <row r="68" spans="1:43" x14ac:dyDescent="0.2">
      <c r="A68">
        <v>362140</v>
      </c>
      <c r="B68" t="s">
        <v>142</v>
      </c>
      <c r="C68" t="s">
        <v>143</v>
      </c>
      <c r="D68" t="s">
        <v>144</v>
      </c>
      <c r="E68" t="s">
        <v>146</v>
      </c>
      <c r="N68">
        <f t="shared" si="10"/>
        <v>0</v>
      </c>
      <c r="O68">
        <f t="shared" si="11"/>
        <v>0</v>
      </c>
      <c r="Y68">
        <v>6.3</v>
      </c>
      <c r="AB68">
        <f t="shared" si="12"/>
        <v>0</v>
      </c>
      <c r="AC68">
        <f t="shared" si="13"/>
        <v>6.3</v>
      </c>
      <c r="AH68">
        <f t="shared" si="14"/>
        <v>0</v>
      </c>
      <c r="AI68">
        <f t="shared" si="15"/>
        <v>0</v>
      </c>
      <c r="AN68">
        <f t="shared" si="16"/>
        <v>0</v>
      </c>
      <c r="AO68">
        <f t="shared" si="17"/>
        <v>0</v>
      </c>
      <c r="AP68">
        <f t="shared" si="18"/>
        <v>0</v>
      </c>
      <c r="AQ68">
        <f t="shared" si="19"/>
        <v>6.3</v>
      </c>
    </row>
    <row r="69" spans="1:43" x14ac:dyDescent="0.2">
      <c r="A69">
        <v>5433794</v>
      </c>
      <c r="B69" t="s">
        <v>142</v>
      </c>
      <c r="C69" t="s">
        <v>147</v>
      </c>
      <c r="D69" t="s">
        <v>148</v>
      </c>
      <c r="E69" t="s">
        <v>149</v>
      </c>
      <c r="G69">
        <v>0.1</v>
      </c>
      <c r="N69">
        <f t="shared" si="10"/>
        <v>0</v>
      </c>
      <c r="O69">
        <f t="shared" si="11"/>
        <v>0.1</v>
      </c>
      <c r="AB69">
        <f t="shared" si="12"/>
        <v>0</v>
      </c>
      <c r="AC69">
        <f t="shared" si="13"/>
        <v>0</v>
      </c>
      <c r="AH69">
        <f t="shared" si="14"/>
        <v>0</v>
      </c>
      <c r="AI69">
        <f t="shared" si="15"/>
        <v>0</v>
      </c>
      <c r="AN69">
        <f t="shared" si="16"/>
        <v>0</v>
      </c>
      <c r="AO69">
        <f t="shared" si="17"/>
        <v>0</v>
      </c>
      <c r="AP69">
        <f t="shared" si="18"/>
        <v>0</v>
      </c>
      <c r="AQ69">
        <f t="shared" si="19"/>
        <v>0.1</v>
      </c>
    </row>
    <row r="70" spans="1:43" x14ac:dyDescent="0.2">
      <c r="B70" t="s">
        <v>142</v>
      </c>
      <c r="C70" t="s">
        <v>147</v>
      </c>
      <c r="D70" t="s">
        <v>150</v>
      </c>
      <c r="E70" t="s">
        <v>151</v>
      </c>
      <c r="N70">
        <f t="shared" si="10"/>
        <v>0</v>
      </c>
      <c r="O70">
        <f t="shared" si="11"/>
        <v>0</v>
      </c>
      <c r="AB70">
        <f t="shared" si="12"/>
        <v>0</v>
      </c>
      <c r="AC70">
        <f t="shared" si="13"/>
        <v>0</v>
      </c>
      <c r="AH70">
        <f t="shared" si="14"/>
        <v>0</v>
      </c>
      <c r="AI70">
        <f t="shared" si="15"/>
        <v>0</v>
      </c>
      <c r="AN70">
        <f t="shared" si="16"/>
        <v>0</v>
      </c>
      <c r="AO70">
        <f t="shared" si="17"/>
        <v>0</v>
      </c>
      <c r="AP70">
        <f t="shared" si="18"/>
        <v>0</v>
      </c>
      <c r="AQ70">
        <f t="shared" si="19"/>
        <v>0</v>
      </c>
    </row>
    <row r="71" spans="1:43" x14ac:dyDescent="0.2">
      <c r="A71">
        <v>252511</v>
      </c>
      <c r="B71" t="s">
        <v>142</v>
      </c>
      <c r="C71" t="s">
        <v>147</v>
      </c>
      <c r="D71" t="s">
        <v>150</v>
      </c>
      <c r="E71" t="s">
        <v>152</v>
      </c>
      <c r="G71">
        <v>0.5</v>
      </c>
      <c r="I71">
        <v>3</v>
      </c>
      <c r="N71">
        <f t="shared" si="10"/>
        <v>0</v>
      </c>
      <c r="O71">
        <f t="shared" si="11"/>
        <v>3.5</v>
      </c>
      <c r="AB71">
        <f t="shared" si="12"/>
        <v>0</v>
      </c>
      <c r="AC71">
        <f t="shared" si="13"/>
        <v>0</v>
      </c>
      <c r="AE71">
        <v>6</v>
      </c>
      <c r="AH71">
        <f t="shared" si="14"/>
        <v>0</v>
      </c>
      <c r="AI71">
        <f t="shared" si="15"/>
        <v>6</v>
      </c>
      <c r="AN71">
        <f t="shared" si="16"/>
        <v>0</v>
      </c>
      <c r="AO71">
        <f t="shared" si="17"/>
        <v>0</v>
      </c>
      <c r="AP71">
        <f t="shared" si="18"/>
        <v>0</v>
      </c>
      <c r="AQ71">
        <f t="shared" si="19"/>
        <v>9.5</v>
      </c>
    </row>
    <row r="72" spans="1:43" x14ac:dyDescent="0.2">
      <c r="A72">
        <v>1792472</v>
      </c>
      <c r="B72" t="s">
        <v>142</v>
      </c>
      <c r="C72" t="s">
        <v>153</v>
      </c>
      <c r="D72" t="s">
        <v>154</v>
      </c>
      <c r="E72" t="s">
        <v>155</v>
      </c>
      <c r="G72">
        <v>0.1</v>
      </c>
      <c r="K72">
        <v>6</v>
      </c>
      <c r="N72">
        <f t="shared" si="10"/>
        <v>0</v>
      </c>
      <c r="O72">
        <f t="shared" si="11"/>
        <v>6.1</v>
      </c>
      <c r="AB72">
        <f t="shared" si="12"/>
        <v>0</v>
      </c>
      <c r="AC72">
        <f t="shared" si="13"/>
        <v>0</v>
      </c>
      <c r="AE72">
        <v>1.1000000000000001</v>
      </c>
      <c r="AH72">
        <f t="shared" si="14"/>
        <v>0</v>
      </c>
      <c r="AI72">
        <f t="shared" si="15"/>
        <v>1.1000000000000001</v>
      </c>
      <c r="AN72">
        <f t="shared" si="16"/>
        <v>0</v>
      </c>
      <c r="AO72">
        <f t="shared" si="17"/>
        <v>0</v>
      </c>
      <c r="AP72">
        <f t="shared" si="18"/>
        <v>0</v>
      </c>
      <c r="AQ72">
        <f t="shared" si="19"/>
        <v>7.1999999999999993</v>
      </c>
    </row>
    <row r="73" spans="1:43" x14ac:dyDescent="0.2">
      <c r="A73">
        <v>8338397</v>
      </c>
      <c r="B73" t="s">
        <v>142</v>
      </c>
      <c r="C73" t="s">
        <v>156</v>
      </c>
      <c r="D73" t="s">
        <v>157</v>
      </c>
      <c r="E73" t="s">
        <v>158</v>
      </c>
      <c r="G73">
        <v>0.2</v>
      </c>
      <c r="K73">
        <v>1.3</v>
      </c>
      <c r="N73">
        <f t="shared" si="10"/>
        <v>0</v>
      </c>
      <c r="O73">
        <f t="shared" si="11"/>
        <v>1.5</v>
      </c>
      <c r="AB73">
        <f t="shared" si="12"/>
        <v>0</v>
      </c>
      <c r="AC73">
        <f t="shared" si="13"/>
        <v>0</v>
      </c>
      <c r="AE73">
        <v>1.5</v>
      </c>
      <c r="AH73">
        <f t="shared" si="14"/>
        <v>0</v>
      </c>
      <c r="AI73">
        <f t="shared" si="15"/>
        <v>1.5</v>
      </c>
      <c r="AN73">
        <f t="shared" si="16"/>
        <v>0</v>
      </c>
      <c r="AO73">
        <f t="shared" si="17"/>
        <v>0</v>
      </c>
      <c r="AP73">
        <f t="shared" si="18"/>
        <v>0</v>
      </c>
      <c r="AQ73">
        <f t="shared" si="19"/>
        <v>3</v>
      </c>
    </row>
    <row r="74" spans="1:43" x14ac:dyDescent="0.2">
      <c r="A74">
        <v>791164</v>
      </c>
      <c r="B74" t="s">
        <v>142</v>
      </c>
      <c r="C74" t="s">
        <v>156</v>
      </c>
      <c r="D74" t="s">
        <v>159</v>
      </c>
      <c r="E74" t="s">
        <v>160</v>
      </c>
      <c r="N74">
        <f t="shared" si="10"/>
        <v>0</v>
      </c>
      <c r="O74">
        <f t="shared" si="11"/>
        <v>0</v>
      </c>
      <c r="AB74">
        <f t="shared" si="12"/>
        <v>0</v>
      </c>
      <c r="AC74">
        <f t="shared" si="13"/>
        <v>0</v>
      </c>
      <c r="AH74">
        <f t="shared" si="14"/>
        <v>0</v>
      </c>
      <c r="AI74">
        <f t="shared" si="15"/>
        <v>0</v>
      </c>
      <c r="AN74">
        <f t="shared" si="16"/>
        <v>0</v>
      </c>
      <c r="AO74">
        <f t="shared" si="17"/>
        <v>0</v>
      </c>
      <c r="AP74">
        <f t="shared" si="18"/>
        <v>0</v>
      </c>
      <c r="AQ74">
        <f t="shared" si="19"/>
        <v>0</v>
      </c>
    </row>
    <row r="75" spans="1:43" x14ac:dyDescent="0.2">
      <c r="A75">
        <v>217063</v>
      </c>
      <c r="B75" t="s">
        <v>142</v>
      </c>
      <c r="C75" t="s">
        <v>156</v>
      </c>
      <c r="D75" t="s">
        <v>161</v>
      </c>
      <c r="E75" t="s">
        <v>162</v>
      </c>
      <c r="G75">
        <v>0.2</v>
      </c>
      <c r="K75">
        <v>0.9</v>
      </c>
      <c r="N75">
        <f t="shared" si="10"/>
        <v>0</v>
      </c>
      <c r="O75">
        <f t="shared" si="11"/>
        <v>1.1000000000000001</v>
      </c>
      <c r="AB75">
        <f t="shared" si="12"/>
        <v>0</v>
      </c>
      <c r="AC75">
        <f t="shared" si="13"/>
        <v>0</v>
      </c>
      <c r="AH75">
        <f t="shared" si="14"/>
        <v>0</v>
      </c>
      <c r="AI75">
        <f t="shared" si="15"/>
        <v>0</v>
      </c>
      <c r="AN75">
        <f t="shared" si="16"/>
        <v>0</v>
      </c>
      <c r="AO75">
        <f t="shared" si="17"/>
        <v>0</v>
      </c>
      <c r="AP75">
        <f t="shared" si="18"/>
        <v>0</v>
      </c>
      <c r="AQ75">
        <f t="shared" si="19"/>
        <v>1.1000000000000001</v>
      </c>
    </row>
    <row r="76" spans="1:43" x14ac:dyDescent="0.2">
      <c r="A76">
        <v>469857</v>
      </c>
      <c r="B76" t="s">
        <v>142</v>
      </c>
      <c r="C76" t="s">
        <v>156</v>
      </c>
      <c r="D76" t="s">
        <v>157</v>
      </c>
      <c r="E76" t="s">
        <v>163</v>
      </c>
      <c r="G76">
        <v>0.2</v>
      </c>
      <c r="K76">
        <v>1.5</v>
      </c>
      <c r="N76">
        <f t="shared" si="10"/>
        <v>0</v>
      </c>
      <c r="O76">
        <f t="shared" si="11"/>
        <v>1.7</v>
      </c>
      <c r="AB76">
        <f t="shared" si="12"/>
        <v>0</v>
      </c>
      <c r="AC76">
        <f t="shared" si="13"/>
        <v>0</v>
      </c>
      <c r="AE76">
        <v>1.1000000000000001</v>
      </c>
      <c r="AH76">
        <f t="shared" si="14"/>
        <v>0</v>
      </c>
      <c r="AI76">
        <f t="shared" si="15"/>
        <v>1.1000000000000001</v>
      </c>
      <c r="AN76">
        <f t="shared" si="16"/>
        <v>0</v>
      </c>
      <c r="AO76">
        <f t="shared" si="17"/>
        <v>0</v>
      </c>
      <c r="AP76">
        <f t="shared" si="18"/>
        <v>0</v>
      </c>
      <c r="AQ76">
        <f t="shared" si="19"/>
        <v>2.8</v>
      </c>
    </row>
    <row r="77" spans="1:43" x14ac:dyDescent="0.2">
      <c r="A77">
        <v>1846752</v>
      </c>
      <c r="B77" t="s">
        <v>142</v>
      </c>
      <c r="C77" t="s">
        <v>156</v>
      </c>
      <c r="D77" t="s">
        <v>157</v>
      </c>
      <c r="E77" t="s">
        <v>164</v>
      </c>
      <c r="G77">
        <v>0.3</v>
      </c>
      <c r="K77">
        <v>0.4</v>
      </c>
      <c r="N77">
        <f t="shared" si="10"/>
        <v>0</v>
      </c>
      <c r="O77">
        <f t="shared" si="11"/>
        <v>0.7</v>
      </c>
      <c r="AB77">
        <f t="shared" si="12"/>
        <v>0</v>
      </c>
      <c r="AC77">
        <f t="shared" si="13"/>
        <v>0</v>
      </c>
      <c r="AE77">
        <v>0.1</v>
      </c>
      <c r="AH77">
        <f t="shared" si="14"/>
        <v>0</v>
      </c>
      <c r="AI77">
        <f t="shared" si="15"/>
        <v>0.1</v>
      </c>
      <c r="AN77">
        <f t="shared" si="16"/>
        <v>0</v>
      </c>
      <c r="AO77">
        <f t="shared" si="17"/>
        <v>0</v>
      </c>
      <c r="AP77">
        <f t="shared" si="18"/>
        <v>0</v>
      </c>
      <c r="AQ77">
        <f t="shared" si="19"/>
        <v>0.79999999999999993</v>
      </c>
    </row>
    <row r="78" spans="1:43" x14ac:dyDescent="0.2">
      <c r="A78">
        <v>252532</v>
      </c>
      <c r="B78" t="s">
        <v>142</v>
      </c>
      <c r="C78" t="s">
        <v>156</v>
      </c>
      <c r="D78" t="s">
        <v>157</v>
      </c>
      <c r="E78" t="s">
        <v>165</v>
      </c>
      <c r="G78">
        <v>0.2</v>
      </c>
      <c r="K78">
        <v>2.1</v>
      </c>
      <c r="N78">
        <f t="shared" si="10"/>
        <v>0</v>
      </c>
      <c r="O78">
        <f t="shared" si="11"/>
        <v>2.3000000000000003</v>
      </c>
      <c r="AB78">
        <f t="shared" si="12"/>
        <v>0</v>
      </c>
      <c r="AC78">
        <f t="shared" si="13"/>
        <v>0</v>
      </c>
      <c r="AE78">
        <v>1.5</v>
      </c>
      <c r="AH78">
        <f t="shared" si="14"/>
        <v>0</v>
      </c>
      <c r="AI78">
        <f t="shared" si="15"/>
        <v>1.5</v>
      </c>
      <c r="AN78">
        <f t="shared" si="16"/>
        <v>0</v>
      </c>
      <c r="AO78">
        <f t="shared" si="17"/>
        <v>0</v>
      </c>
      <c r="AP78">
        <f t="shared" si="18"/>
        <v>0</v>
      </c>
      <c r="AQ78">
        <f t="shared" si="19"/>
        <v>3.8000000000000003</v>
      </c>
    </row>
    <row r="79" spans="1:43" x14ac:dyDescent="0.2">
      <c r="A79">
        <v>220671</v>
      </c>
      <c r="B79" t="s">
        <v>142</v>
      </c>
      <c r="C79" t="s">
        <v>156</v>
      </c>
      <c r="D79" t="s">
        <v>157</v>
      </c>
      <c r="E79" t="s">
        <v>166</v>
      </c>
      <c r="N79">
        <f t="shared" si="10"/>
        <v>0</v>
      </c>
      <c r="O79">
        <f t="shared" si="11"/>
        <v>0</v>
      </c>
      <c r="AB79">
        <f t="shared" si="12"/>
        <v>0</v>
      </c>
      <c r="AC79">
        <f t="shared" si="13"/>
        <v>0</v>
      </c>
      <c r="AH79">
        <f t="shared" si="14"/>
        <v>0</v>
      </c>
      <c r="AI79">
        <f t="shared" si="15"/>
        <v>0</v>
      </c>
      <c r="AN79">
        <f t="shared" si="16"/>
        <v>0</v>
      </c>
      <c r="AO79">
        <f t="shared" si="17"/>
        <v>0</v>
      </c>
      <c r="AP79">
        <f t="shared" si="18"/>
        <v>0</v>
      </c>
      <c r="AQ79">
        <f t="shared" si="19"/>
        <v>0</v>
      </c>
    </row>
    <row r="80" spans="1:43" x14ac:dyDescent="0.2">
      <c r="A80">
        <v>220629</v>
      </c>
      <c r="B80" t="s">
        <v>142</v>
      </c>
      <c r="C80" t="s">
        <v>156</v>
      </c>
      <c r="D80" t="s">
        <v>157</v>
      </c>
      <c r="E80" t="s">
        <v>167</v>
      </c>
      <c r="G80">
        <v>0.1</v>
      </c>
      <c r="K80">
        <v>0.7</v>
      </c>
      <c r="N80">
        <f t="shared" si="10"/>
        <v>0</v>
      </c>
      <c r="O80">
        <f t="shared" si="11"/>
        <v>0.79999999999999993</v>
      </c>
      <c r="AB80">
        <f t="shared" si="12"/>
        <v>0</v>
      </c>
      <c r="AC80">
        <f t="shared" si="13"/>
        <v>0</v>
      </c>
      <c r="AE80">
        <v>1</v>
      </c>
      <c r="AH80">
        <f t="shared" si="14"/>
        <v>0</v>
      </c>
      <c r="AI80">
        <f t="shared" si="15"/>
        <v>1</v>
      </c>
      <c r="AN80">
        <f t="shared" si="16"/>
        <v>0</v>
      </c>
      <c r="AO80">
        <f t="shared" si="17"/>
        <v>0</v>
      </c>
      <c r="AP80">
        <f t="shared" si="18"/>
        <v>0</v>
      </c>
      <c r="AQ80">
        <f t="shared" si="19"/>
        <v>1.7999999999999998</v>
      </c>
    </row>
    <row r="81" spans="1:43" x14ac:dyDescent="0.2">
      <c r="A81">
        <v>249110</v>
      </c>
      <c r="B81" t="s">
        <v>142</v>
      </c>
      <c r="C81" t="s">
        <v>156</v>
      </c>
      <c r="D81" t="s">
        <v>168</v>
      </c>
      <c r="E81" t="s">
        <v>169</v>
      </c>
      <c r="G81">
        <v>0.6</v>
      </c>
      <c r="J81">
        <v>4</v>
      </c>
      <c r="N81">
        <f t="shared" si="10"/>
        <v>4</v>
      </c>
      <c r="O81">
        <f t="shared" si="11"/>
        <v>0.6</v>
      </c>
      <c r="X81">
        <v>0.8</v>
      </c>
      <c r="AB81">
        <f t="shared" si="12"/>
        <v>0.8</v>
      </c>
      <c r="AC81">
        <f t="shared" si="13"/>
        <v>0</v>
      </c>
      <c r="AH81">
        <f t="shared" si="14"/>
        <v>0</v>
      </c>
      <c r="AI81">
        <f t="shared" si="15"/>
        <v>0</v>
      </c>
      <c r="AN81">
        <f t="shared" si="16"/>
        <v>0</v>
      </c>
      <c r="AO81">
        <f t="shared" si="17"/>
        <v>0</v>
      </c>
      <c r="AP81">
        <f t="shared" si="18"/>
        <v>4.8</v>
      </c>
      <c r="AQ81">
        <f t="shared" si="19"/>
        <v>0.6</v>
      </c>
    </row>
    <row r="82" spans="1:43" x14ac:dyDescent="0.2">
      <c r="A82">
        <v>200954</v>
      </c>
      <c r="B82" t="s">
        <v>142</v>
      </c>
      <c r="C82" t="s">
        <v>156</v>
      </c>
      <c r="D82" t="s">
        <v>170</v>
      </c>
      <c r="E82" t="s">
        <v>171</v>
      </c>
      <c r="N82">
        <f t="shared" si="10"/>
        <v>0</v>
      </c>
      <c r="O82">
        <f t="shared" si="11"/>
        <v>0</v>
      </c>
      <c r="AB82">
        <f t="shared" si="12"/>
        <v>0</v>
      </c>
      <c r="AC82">
        <f t="shared" si="13"/>
        <v>0</v>
      </c>
      <c r="AE82">
        <v>0.2</v>
      </c>
      <c r="AH82">
        <f t="shared" si="14"/>
        <v>0</v>
      </c>
      <c r="AI82">
        <f t="shared" si="15"/>
        <v>0.2</v>
      </c>
      <c r="AN82">
        <f t="shared" si="16"/>
        <v>0</v>
      </c>
      <c r="AO82">
        <f t="shared" si="17"/>
        <v>0</v>
      </c>
      <c r="AP82">
        <f t="shared" si="18"/>
        <v>0</v>
      </c>
      <c r="AQ82">
        <f t="shared" si="19"/>
        <v>0.2</v>
      </c>
    </row>
    <row r="83" spans="1:43" x14ac:dyDescent="0.2">
      <c r="A83">
        <v>5322355</v>
      </c>
      <c r="B83" t="s">
        <v>142</v>
      </c>
      <c r="C83" t="s">
        <v>156</v>
      </c>
      <c r="D83" t="s">
        <v>168</v>
      </c>
      <c r="E83" t="s">
        <v>172</v>
      </c>
      <c r="K83">
        <v>2.5</v>
      </c>
      <c r="N83">
        <f t="shared" si="10"/>
        <v>0</v>
      </c>
      <c r="O83">
        <f t="shared" si="11"/>
        <v>2.5</v>
      </c>
      <c r="AB83">
        <f t="shared" si="12"/>
        <v>0</v>
      </c>
      <c r="AC83">
        <f t="shared" si="13"/>
        <v>0</v>
      </c>
      <c r="AE83">
        <v>1.5</v>
      </c>
      <c r="AH83">
        <f t="shared" si="14"/>
        <v>0</v>
      </c>
      <c r="AI83">
        <f t="shared" si="15"/>
        <v>1.5</v>
      </c>
      <c r="AN83">
        <f t="shared" si="16"/>
        <v>0</v>
      </c>
      <c r="AO83">
        <f t="shared" si="17"/>
        <v>0</v>
      </c>
      <c r="AP83">
        <f t="shared" si="18"/>
        <v>0</v>
      </c>
      <c r="AQ83">
        <f t="shared" si="19"/>
        <v>4</v>
      </c>
    </row>
    <row r="84" spans="1:43" x14ac:dyDescent="0.2">
      <c r="A84">
        <v>928080</v>
      </c>
      <c r="B84" t="s">
        <v>142</v>
      </c>
      <c r="C84" t="s">
        <v>156</v>
      </c>
      <c r="D84" t="s">
        <v>161</v>
      </c>
      <c r="E84" t="s">
        <v>173</v>
      </c>
      <c r="G84">
        <v>0.3</v>
      </c>
      <c r="K84">
        <v>2.6</v>
      </c>
      <c r="N84">
        <f t="shared" si="10"/>
        <v>0</v>
      </c>
      <c r="O84">
        <f t="shared" si="11"/>
        <v>2.9</v>
      </c>
      <c r="AB84">
        <f t="shared" si="12"/>
        <v>0</v>
      </c>
      <c r="AC84">
        <f t="shared" si="13"/>
        <v>0</v>
      </c>
      <c r="AE84">
        <v>1</v>
      </c>
      <c r="AH84">
        <f t="shared" si="14"/>
        <v>0</v>
      </c>
      <c r="AI84">
        <f t="shared" si="15"/>
        <v>1</v>
      </c>
      <c r="AN84">
        <f t="shared" si="16"/>
        <v>0</v>
      </c>
      <c r="AO84">
        <f t="shared" si="17"/>
        <v>0</v>
      </c>
      <c r="AP84">
        <f t="shared" si="18"/>
        <v>0</v>
      </c>
      <c r="AQ84">
        <f t="shared" si="19"/>
        <v>3.9</v>
      </c>
    </row>
    <row r="85" spans="1:43" x14ac:dyDescent="0.2">
      <c r="A85">
        <v>198018</v>
      </c>
      <c r="B85" t="s">
        <v>174</v>
      </c>
      <c r="C85" t="s">
        <v>175</v>
      </c>
      <c r="D85" t="s">
        <v>56</v>
      </c>
      <c r="E85" t="s">
        <v>176</v>
      </c>
      <c r="N85">
        <f t="shared" si="10"/>
        <v>0</v>
      </c>
      <c r="O85">
        <f t="shared" si="11"/>
        <v>0</v>
      </c>
      <c r="Q85">
        <v>1</v>
      </c>
      <c r="AB85">
        <f t="shared" si="12"/>
        <v>0</v>
      </c>
      <c r="AC85">
        <f t="shared" si="13"/>
        <v>1</v>
      </c>
      <c r="AH85">
        <f t="shared" si="14"/>
        <v>0</v>
      </c>
      <c r="AI85">
        <f t="shared" si="15"/>
        <v>0</v>
      </c>
      <c r="AN85">
        <f t="shared" si="16"/>
        <v>0</v>
      </c>
      <c r="AO85">
        <f t="shared" si="17"/>
        <v>0</v>
      </c>
      <c r="AP85">
        <f t="shared" si="18"/>
        <v>0</v>
      </c>
      <c r="AQ85">
        <f t="shared" si="19"/>
        <v>1</v>
      </c>
    </row>
    <row r="86" spans="1:43" x14ac:dyDescent="0.2">
      <c r="A86">
        <v>213262</v>
      </c>
      <c r="B86" t="s">
        <v>174</v>
      </c>
      <c r="C86" t="s">
        <v>177</v>
      </c>
      <c r="D86" t="s">
        <v>178</v>
      </c>
      <c r="E86" t="s">
        <v>179</v>
      </c>
      <c r="G86">
        <v>27</v>
      </c>
      <c r="H86">
        <v>1</v>
      </c>
      <c r="I86">
        <v>15</v>
      </c>
      <c r="N86">
        <f t="shared" si="10"/>
        <v>1</v>
      </c>
      <c r="O86">
        <f t="shared" si="11"/>
        <v>42</v>
      </c>
      <c r="AB86">
        <f t="shared" si="12"/>
        <v>0</v>
      </c>
      <c r="AC86">
        <f t="shared" si="13"/>
        <v>0</v>
      </c>
      <c r="AH86">
        <f t="shared" si="14"/>
        <v>0</v>
      </c>
      <c r="AI86">
        <f t="shared" si="15"/>
        <v>0</v>
      </c>
      <c r="AK86">
        <v>5</v>
      </c>
      <c r="AN86">
        <f t="shared" si="16"/>
        <v>0</v>
      </c>
      <c r="AO86">
        <f t="shared" si="17"/>
        <v>5</v>
      </c>
      <c r="AP86">
        <f t="shared" si="18"/>
        <v>1</v>
      </c>
      <c r="AQ86">
        <f t="shared" si="19"/>
        <v>47</v>
      </c>
    </row>
    <row r="87" spans="1:43" x14ac:dyDescent="0.2">
      <c r="A87">
        <v>212792</v>
      </c>
      <c r="B87" t="s">
        <v>180</v>
      </c>
      <c r="C87" t="s">
        <v>181</v>
      </c>
      <c r="D87" t="s">
        <v>182</v>
      </c>
      <c r="E87" t="s">
        <v>183</v>
      </c>
      <c r="N87">
        <f t="shared" si="10"/>
        <v>0</v>
      </c>
      <c r="O87">
        <f t="shared" si="11"/>
        <v>0</v>
      </c>
      <c r="W87">
        <v>7.9</v>
      </c>
      <c r="Y87">
        <v>0.7</v>
      </c>
      <c r="AB87">
        <f t="shared" si="12"/>
        <v>0</v>
      </c>
      <c r="AC87">
        <f t="shared" si="13"/>
        <v>8.6</v>
      </c>
      <c r="AH87">
        <f t="shared" si="14"/>
        <v>0</v>
      </c>
      <c r="AI87">
        <f t="shared" si="15"/>
        <v>0</v>
      </c>
      <c r="AN87">
        <f t="shared" si="16"/>
        <v>0</v>
      </c>
      <c r="AO87">
        <f t="shared" si="17"/>
        <v>0</v>
      </c>
      <c r="AP87">
        <f t="shared" si="18"/>
        <v>0</v>
      </c>
      <c r="AQ87">
        <f t="shared" si="19"/>
        <v>8.6</v>
      </c>
    </row>
    <row r="88" spans="1:43" x14ac:dyDescent="0.2">
      <c r="A88">
        <v>198174</v>
      </c>
      <c r="B88" t="s">
        <v>180</v>
      </c>
      <c r="C88" t="s">
        <v>181</v>
      </c>
      <c r="D88" t="s">
        <v>184</v>
      </c>
      <c r="E88" t="s">
        <v>185</v>
      </c>
      <c r="G88">
        <v>3</v>
      </c>
      <c r="K88">
        <v>14</v>
      </c>
      <c r="N88">
        <f t="shared" si="10"/>
        <v>0</v>
      </c>
      <c r="O88">
        <f t="shared" si="11"/>
        <v>17</v>
      </c>
      <c r="AB88">
        <f t="shared" si="12"/>
        <v>0</v>
      </c>
      <c r="AC88">
        <f t="shared" si="13"/>
        <v>0</v>
      </c>
      <c r="AE88">
        <v>2.5</v>
      </c>
      <c r="AH88">
        <f t="shared" si="14"/>
        <v>0</v>
      </c>
      <c r="AI88">
        <f t="shared" si="15"/>
        <v>2.5</v>
      </c>
      <c r="AN88">
        <f t="shared" si="16"/>
        <v>0</v>
      </c>
      <c r="AO88">
        <f t="shared" si="17"/>
        <v>0</v>
      </c>
      <c r="AP88">
        <f t="shared" si="18"/>
        <v>0</v>
      </c>
      <c r="AQ88">
        <f t="shared" si="19"/>
        <v>19.5</v>
      </c>
    </row>
    <row r="89" spans="1:43" x14ac:dyDescent="0.2">
      <c r="B89" t="s">
        <v>180</v>
      </c>
      <c r="C89" t="s">
        <v>181</v>
      </c>
      <c r="D89" t="s">
        <v>182</v>
      </c>
      <c r="E89" t="s">
        <v>186</v>
      </c>
      <c r="G89">
        <v>6</v>
      </c>
      <c r="K89">
        <v>19</v>
      </c>
      <c r="N89">
        <f t="shared" si="10"/>
        <v>0</v>
      </c>
      <c r="O89">
        <f t="shared" si="11"/>
        <v>25</v>
      </c>
      <c r="AB89">
        <f t="shared" si="12"/>
        <v>0</v>
      </c>
      <c r="AC89">
        <f t="shared" si="13"/>
        <v>0</v>
      </c>
      <c r="AE89">
        <v>3.5</v>
      </c>
      <c r="AG89">
        <v>4</v>
      </c>
      <c r="AH89">
        <f t="shared" si="14"/>
        <v>0</v>
      </c>
      <c r="AI89">
        <f t="shared" si="15"/>
        <v>7.5</v>
      </c>
      <c r="AN89">
        <f t="shared" si="16"/>
        <v>0</v>
      </c>
      <c r="AO89">
        <f t="shared" si="17"/>
        <v>0</v>
      </c>
      <c r="AP89">
        <f t="shared" si="18"/>
        <v>0</v>
      </c>
      <c r="AQ89">
        <f t="shared" si="19"/>
        <v>32.5</v>
      </c>
    </row>
    <row r="90" spans="1:43" x14ac:dyDescent="0.2">
      <c r="A90">
        <v>2254370</v>
      </c>
      <c r="B90" t="s">
        <v>180</v>
      </c>
      <c r="C90" t="s">
        <v>187</v>
      </c>
      <c r="D90" t="s">
        <v>188</v>
      </c>
      <c r="E90" t="s">
        <v>189</v>
      </c>
      <c r="G90">
        <v>3.9</v>
      </c>
      <c r="K90">
        <v>7</v>
      </c>
      <c r="N90">
        <f t="shared" si="10"/>
        <v>0</v>
      </c>
      <c r="O90">
        <f t="shared" si="11"/>
        <v>10.9</v>
      </c>
      <c r="AB90">
        <f t="shared" si="12"/>
        <v>0</v>
      </c>
      <c r="AC90">
        <f t="shared" si="13"/>
        <v>0</v>
      </c>
      <c r="AE90">
        <v>5</v>
      </c>
      <c r="AH90">
        <f t="shared" si="14"/>
        <v>0</v>
      </c>
      <c r="AI90">
        <f t="shared" si="15"/>
        <v>5</v>
      </c>
      <c r="AN90">
        <f t="shared" si="16"/>
        <v>0</v>
      </c>
      <c r="AO90">
        <f t="shared" si="17"/>
        <v>0</v>
      </c>
      <c r="AP90">
        <f t="shared" si="18"/>
        <v>0</v>
      </c>
      <c r="AQ90">
        <f t="shared" si="19"/>
        <v>15.9</v>
      </c>
    </row>
    <row r="91" spans="1:43" x14ac:dyDescent="0.2">
      <c r="A91">
        <v>1717994</v>
      </c>
      <c r="B91" t="s">
        <v>180</v>
      </c>
      <c r="C91" t="s">
        <v>187</v>
      </c>
      <c r="D91" t="s">
        <v>190</v>
      </c>
      <c r="E91" t="s">
        <v>191</v>
      </c>
      <c r="G91">
        <v>4.5</v>
      </c>
      <c r="N91">
        <f t="shared" si="10"/>
        <v>0</v>
      </c>
      <c r="O91">
        <f t="shared" si="11"/>
        <v>4.5</v>
      </c>
      <c r="AB91">
        <f t="shared" si="12"/>
        <v>0</v>
      </c>
      <c r="AC91">
        <f t="shared" si="13"/>
        <v>0</v>
      </c>
      <c r="AH91">
        <f t="shared" si="14"/>
        <v>0</v>
      </c>
      <c r="AI91">
        <f t="shared" si="15"/>
        <v>0</v>
      </c>
      <c r="AN91">
        <f t="shared" si="16"/>
        <v>0</v>
      </c>
      <c r="AO91">
        <f t="shared" si="17"/>
        <v>0</v>
      </c>
      <c r="AP91">
        <f t="shared" si="18"/>
        <v>0</v>
      </c>
      <c r="AQ91">
        <f t="shared" si="19"/>
        <v>4.5</v>
      </c>
    </row>
    <row r="92" spans="1:43" x14ac:dyDescent="0.2">
      <c r="B92" t="s">
        <v>180</v>
      </c>
      <c r="C92" t="s">
        <v>187</v>
      </c>
      <c r="D92" t="s">
        <v>51</v>
      </c>
      <c r="E92" t="s">
        <v>192</v>
      </c>
      <c r="G92">
        <v>5</v>
      </c>
      <c r="K92">
        <v>3</v>
      </c>
      <c r="N92">
        <f t="shared" si="10"/>
        <v>0</v>
      </c>
      <c r="O92">
        <f t="shared" si="11"/>
        <v>8</v>
      </c>
      <c r="AB92">
        <f t="shared" si="12"/>
        <v>0</v>
      </c>
      <c r="AC92">
        <f t="shared" si="13"/>
        <v>0</v>
      </c>
      <c r="AE92">
        <v>4.5</v>
      </c>
      <c r="AH92">
        <f t="shared" si="14"/>
        <v>0</v>
      </c>
      <c r="AI92">
        <f t="shared" si="15"/>
        <v>4.5</v>
      </c>
      <c r="AN92">
        <f t="shared" si="16"/>
        <v>0</v>
      </c>
      <c r="AO92">
        <f t="shared" si="17"/>
        <v>0</v>
      </c>
      <c r="AP92">
        <f t="shared" si="18"/>
        <v>0</v>
      </c>
      <c r="AQ92">
        <f t="shared" si="19"/>
        <v>12.5</v>
      </c>
    </row>
    <row r="93" spans="1:43" x14ac:dyDescent="0.2">
      <c r="A93">
        <v>7029515</v>
      </c>
      <c r="B93" t="s">
        <v>193</v>
      </c>
      <c r="C93" t="s">
        <v>194</v>
      </c>
      <c r="D93" t="s">
        <v>195</v>
      </c>
      <c r="E93" t="s">
        <v>196</v>
      </c>
      <c r="G93">
        <v>14</v>
      </c>
      <c r="H93">
        <v>1</v>
      </c>
      <c r="I93">
        <v>8</v>
      </c>
      <c r="N93">
        <f t="shared" si="10"/>
        <v>1</v>
      </c>
      <c r="O93">
        <f t="shared" si="11"/>
        <v>22</v>
      </c>
      <c r="Q93">
        <v>31</v>
      </c>
      <c r="V93">
        <v>5</v>
      </c>
      <c r="W93">
        <v>6</v>
      </c>
      <c r="AB93">
        <f t="shared" si="12"/>
        <v>5</v>
      </c>
      <c r="AC93">
        <f t="shared" si="13"/>
        <v>37</v>
      </c>
      <c r="AH93">
        <f t="shared" si="14"/>
        <v>0</v>
      </c>
      <c r="AI93">
        <f t="shared" si="15"/>
        <v>0</v>
      </c>
      <c r="AN93">
        <f t="shared" si="16"/>
        <v>0</v>
      </c>
      <c r="AO93">
        <f t="shared" si="17"/>
        <v>0</v>
      </c>
      <c r="AP93">
        <f t="shared" si="18"/>
        <v>6</v>
      </c>
      <c r="AQ93">
        <f t="shared" si="19"/>
        <v>59</v>
      </c>
    </row>
    <row r="94" spans="1:43" x14ac:dyDescent="0.2">
      <c r="A94">
        <v>7029519</v>
      </c>
      <c r="B94" t="s">
        <v>193</v>
      </c>
      <c r="C94" t="s">
        <v>194</v>
      </c>
      <c r="D94" t="s">
        <v>197</v>
      </c>
      <c r="E94" t="s">
        <v>198</v>
      </c>
      <c r="N94">
        <f t="shared" si="10"/>
        <v>0</v>
      </c>
      <c r="O94">
        <f t="shared" si="11"/>
        <v>0</v>
      </c>
      <c r="V94">
        <v>4</v>
      </c>
      <c r="W94">
        <v>47</v>
      </c>
      <c r="AB94">
        <f t="shared" si="12"/>
        <v>4</v>
      </c>
      <c r="AC94">
        <f t="shared" si="13"/>
        <v>47</v>
      </c>
      <c r="AH94">
        <f t="shared" si="14"/>
        <v>0</v>
      </c>
      <c r="AI94">
        <f t="shared" si="15"/>
        <v>0</v>
      </c>
      <c r="AN94">
        <f t="shared" si="16"/>
        <v>0</v>
      </c>
      <c r="AO94">
        <f t="shared" si="17"/>
        <v>0</v>
      </c>
      <c r="AP94">
        <f t="shared" si="18"/>
        <v>4</v>
      </c>
      <c r="AQ94">
        <f t="shared" si="19"/>
        <v>47</v>
      </c>
    </row>
    <row r="95" spans="1:43" x14ac:dyDescent="0.2">
      <c r="A95">
        <v>4445637</v>
      </c>
      <c r="B95" t="s">
        <v>193</v>
      </c>
      <c r="C95" t="s">
        <v>194</v>
      </c>
      <c r="D95" t="s">
        <v>25</v>
      </c>
      <c r="E95" t="s">
        <v>199</v>
      </c>
      <c r="G95">
        <v>15</v>
      </c>
      <c r="H95">
        <v>8</v>
      </c>
      <c r="I95">
        <v>11</v>
      </c>
      <c r="N95">
        <f t="shared" si="10"/>
        <v>8</v>
      </c>
      <c r="O95">
        <f t="shared" si="11"/>
        <v>26</v>
      </c>
      <c r="Q95">
        <v>27</v>
      </c>
      <c r="V95">
        <v>2</v>
      </c>
      <c r="W95">
        <v>7</v>
      </c>
      <c r="AB95">
        <f t="shared" si="12"/>
        <v>2</v>
      </c>
      <c r="AC95">
        <f t="shared" si="13"/>
        <v>34</v>
      </c>
      <c r="AE95">
        <v>25</v>
      </c>
      <c r="AH95">
        <f t="shared" si="14"/>
        <v>0</v>
      </c>
      <c r="AI95">
        <f t="shared" si="15"/>
        <v>25</v>
      </c>
      <c r="AK95">
        <v>14</v>
      </c>
      <c r="AL95">
        <v>3</v>
      </c>
      <c r="AM95">
        <v>9</v>
      </c>
      <c r="AN95">
        <f t="shared" si="16"/>
        <v>3</v>
      </c>
      <c r="AO95">
        <f t="shared" si="17"/>
        <v>23</v>
      </c>
      <c r="AP95">
        <f t="shared" si="18"/>
        <v>13</v>
      </c>
      <c r="AQ95">
        <f t="shared" si="19"/>
        <v>108</v>
      </c>
    </row>
    <row r="96" spans="1:43" x14ac:dyDescent="0.2">
      <c r="A96">
        <v>5958307</v>
      </c>
      <c r="B96" t="s">
        <v>193</v>
      </c>
      <c r="C96" t="s">
        <v>194</v>
      </c>
      <c r="D96" t="s">
        <v>195</v>
      </c>
      <c r="E96" t="s">
        <v>200</v>
      </c>
      <c r="G96">
        <v>8</v>
      </c>
      <c r="H96">
        <v>3</v>
      </c>
      <c r="I96">
        <v>13</v>
      </c>
      <c r="N96">
        <f t="shared" si="10"/>
        <v>3</v>
      </c>
      <c r="O96">
        <f t="shared" si="11"/>
        <v>21</v>
      </c>
      <c r="Q96">
        <v>35</v>
      </c>
      <c r="V96">
        <v>7</v>
      </c>
      <c r="W96">
        <v>14</v>
      </c>
      <c r="AB96">
        <f t="shared" si="12"/>
        <v>7</v>
      </c>
      <c r="AC96">
        <f t="shared" si="13"/>
        <v>49</v>
      </c>
      <c r="AH96">
        <f t="shared" si="14"/>
        <v>0</v>
      </c>
      <c r="AI96">
        <f t="shared" si="15"/>
        <v>0</v>
      </c>
      <c r="AN96">
        <f t="shared" si="16"/>
        <v>0</v>
      </c>
      <c r="AO96">
        <f t="shared" si="17"/>
        <v>0</v>
      </c>
      <c r="AP96">
        <f t="shared" si="18"/>
        <v>10</v>
      </c>
      <c r="AQ96">
        <f t="shared" si="19"/>
        <v>70</v>
      </c>
    </row>
    <row r="97" spans="1:43" x14ac:dyDescent="0.2">
      <c r="A97">
        <v>272570</v>
      </c>
      <c r="B97" t="s">
        <v>193</v>
      </c>
      <c r="C97" t="s">
        <v>194</v>
      </c>
      <c r="D97" t="s">
        <v>25</v>
      </c>
      <c r="E97" t="s">
        <v>201</v>
      </c>
      <c r="N97">
        <f t="shared" si="10"/>
        <v>0</v>
      </c>
      <c r="O97">
        <f t="shared" si="11"/>
        <v>0</v>
      </c>
      <c r="AB97">
        <f t="shared" si="12"/>
        <v>0</v>
      </c>
      <c r="AC97">
        <f t="shared" si="13"/>
        <v>0</v>
      </c>
      <c r="AH97">
        <f t="shared" si="14"/>
        <v>0</v>
      </c>
      <c r="AI97">
        <f t="shared" si="15"/>
        <v>0</v>
      </c>
      <c r="AN97">
        <f t="shared" si="16"/>
        <v>0</v>
      </c>
      <c r="AO97">
        <f t="shared" si="17"/>
        <v>0</v>
      </c>
      <c r="AP97">
        <f t="shared" si="18"/>
        <v>0</v>
      </c>
      <c r="AQ97">
        <f t="shared" si="19"/>
        <v>0</v>
      </c>
    </row>
    <row r="98" spans="1:43" x14ac:dyDescent="0.2">
      <c r="A98">
        <v>6657703</v>
      </c>
      <c r="B98" t="s">
        <v>193</v>
      </c>
      <c r="C98" t="s">
        <v>194</v>
      </c>
      <c r="D98" t="s">
        <v>197</v>
      </c>
      <c r="E98" t="s">
        <v>202</v>
      </c>
      <c r="G98">
        <v>15</v>
      </c>
      <c r="H98">
        <v>4</v>
      </c>
      <c r="I98">
        <v>13</v>
      </c>
      <c r="N98">
        <f t="shared" si="10"/>
        <v>4</v>
      </c>
      <c r="O98">
        <f t="shared" si="11"/>
        <v>28</v>
      </c>
      <c r="Q98">
        <v>28</v>
      </c>
      <c r="AB98">
        <f t="shared" si="12"/>
        <v>0</v>
      </c>
      <c r="AC98">
        <f t="shared" si="13"/>
        <v>28</v>
      </c>
      <c r="AH98">
        <f t="shared" si="14"/>
        <v>0</v>
      </c>
      <c r="AI98">
        <f t="shared" si="15"/>
        <v>0</v>
      </c>
      <c r="AK98">
        <v>18</v>
      </c>
      <c r="AL98">
        <v>3</v>
      </c>
      <c r="AN98">
        <f t="shared" si="16"/>
        <v>3</v>
      </c>
      <c r="AO98">
        <f t="shared" si="17"/>
        <v>18</v>
      </c>
      <c r="AP98">
        <f t="shared" si="18"/>
        <v>7</v>
      </c>
      <c r="AQ98">
        <f t="shared" si="19"/>
        <v>74</v>
      </c>
    </row>
    <row r="99" spans="1:43" x14ac:dyDescent="0.2">
      <c r="B99" t="s">
        <v>193</v>
      </c>
      <c r="C99" t="s">
        <v>194</v>
      </c>
      <c r="D99" t="s">
        <v>197</v>
      </c>
      <c r="E99" t="s">
        <v>203</v>
      </c>
      <c r="N99">
        <f t="shared" si="10"/>
        <v>0</v>
      </c>
      <c r="O99">
        <f t="shared" si="11"/>
        <v>0</v>
      </c>
      <c r="V99">
        <v>3</v>
      </c>
      <c r="W99">
        <v>23</v>
      </c>
      <c r="AB99">
        <f t="shared" si="12"/>
        <v>3</v>
      </c>
      <c r="AC99">
        <f t="shared" si="13"/>
        <v>23</v>
      </c>
      <c r="AH99">
        <f t="shared" si="14"/>
        <v>0</v>
      </c>
      <c r="AI99">
        <f t="shared" si="15"/>
        <v>0</v>
      </c>
      <c r="AN99">
        <f t="shared" si="16"/>
        <v>0</v>
      </c>
      <c r="AO99">
        <f t="shared" si="17"/>
        <v>0</v>
      </c>
      <c r="AP99">
        <f t="shared" si="18"/>
        <v>3</v>
      </c>
      <c r="AQ99">
        <f t="shared" si="19"/>
        <v>23</v>
      </c>
    </row>
    <row r="100" spans="1:43" x14ac:dyDescent="0.2">
      <c r="A100">
        <v>6658258</v>
      </c>
      <c r="B100" t="s">
        <v>193</v>
      </c>
      <c r="C100" t="s">
        <v>194</v>
      </c>
      <c r="D100" t="s">
        <v>204</v>
      </c>
      <c r="E100" t="s">
        <v>205</v>
      </c>
      <c r="G100">
        <v>4</v>
      </c>
      <c r="H100">
        <v>1</v>
      </c>
      <c r="I100">
        <v>5</v>
      </c>
      <c r="N100">
        <f t="shared" si="10"/>
        <v>1</v>
      </c>
      <c r="O100">
        <f t="shared" si="11"/>
        <v>9</v>
      </c>
      <c r="AB100">
        <f t="shared" si="12"/>
        <v>0</v>
      </c>
      <c r="AC100">
        <f t="shared" si="13"/>
        <v>0</v>
      </c>
      <c r="AE100">
        <v>16</v>
      </c>
      <c r="AH100">
        <f t="shared" si="14"/>
        <v>0</v>
      </c>
      <c r="AI100">
        <f t="shared" si="15"/>
        <v>16</v>
      </c>
      <c r="AK100">
        <v>1</v>
      </c>
      <c r="AN100">
        <f t="shared" si="16"/>
        <v>0</v>
      </c>
      <c r="AO100">
        <f t="shared" si="17"/>
        <v>1</v>
      </c>
      <c r="AP100">
        <f t="shared" si="18"/>
        <v>1</v>
      </c>
      <c r="AQ100">
        <f t="shared" si="19"/>
        <v>26</v>
      </c>
    </row>
    <row r="101" spans="1:43" x14ac:dyDescent="0.2">
      <c r="A101">
        <v>2750571</v>
      </c>
      <c r="B101" t="s">
        <v>193</v>
      </c>
      <c r="C101" t="s">
        <v>194</v>
      </c>
      <c r="D101" t="s">
        <v>195</v>
      </c>
      <c r="E101" t="s">
        <v>206</v>
      </c>
      <c r="H101">
        <v>1</v>
      </c>
      <c r="I101">
        <v>22</v>
      </c>
      <c r="N101">
        <f t="shared" si="10"/>
        <v>1</v>
      </c>
      <c r="O101">
        <f t="shared" si="11"/>
        <v>22</v>
      </c>
      <c r="AB101">
        <f t="shared" si="12"/>
        <v>0</v>
      </c>
      <c r="AC101">
        <f t="shared" si="13"/>
        <v>0</v>
      </c>
      <c r="AH101">
        <f t="shared" si="14"/>
        <v>0</v>
      </c>
      <c r="AI101">
        <f t="shared" si="15"/>
        <v>0</v>
      </c>
      <c r="AN101">
        <f t="shared" si="16"/>
        <v>0</v>
      </c>
      <c r="AO101">
        <f t="shared" si="17"/>
        <v>0</v>
      </c>
      <c r="AP101">
        <f t="shared" si="18"/>
        <v>1</v>
      </c>
      <c r="AQ101">
        <f t="shared" si="19"/>
        <v>22</v>
      </c>
    </row>
    <row r="102" spans="1:43" x14ac:dyDescent="0.2">
      <c r="B102" t="s">
        <v>193</v>
      </c>
      <c r="C102" t="s">
        <v>194</v>
      </c>
      <c r="D102" t="s">
        <v>195</v>
      </c>
      <c r="E102" t="s">
        <v>207</v>
      </c>
      <c r="G102">
        <v>4</v>
      </c>
      <c r="H102">
        <v>2</v>
      </c>
      <c r="N102">
        <f t="shared" si="10"/>
        <v>2</v>
      </c>
      <c r="O102">
        <f t="shared" si="11"/>
        <v>4</v>
      </c>
      <c r="Q102">
        <v>1</v>
      </c>
      <c r="AB102">
        <f t="shared" si="12"/>
        <v>0</v>
      </c>
      <c r="AC102">
        <f t="shared" si="13"/>
        <v>1</v>
      </c>
      <c r="AE102">
        <v>14</v>
      </c>
      <c r="AG102">
        <v>3</v>
      </c>
      <c r="AH102">
        <f t="shared" si="14"/>
        <v>0</v>
      </c>
      <c r="AI102">
        <f t="shared" si="15"/>
        <v>17</v>
      </c>
      <c r="AK102">
        <v>14</v>
      </c>
      <c r="AL102">
        <v>1</v>
      </c>
      <c r="AM102">
        <v>12</v>
      </c>
      <c r="AN102">
        <f t="shared" si="16"/>
        <v>1</v>
      </c>
      <c r="AO102">
        <f t="shared" si="17"/>
        <v>26</v>
      </c>
      <c r="AP102">
        <f t="shared" si="18"/>
        <v>3</v>
      </c>
      <c r="AQ102">
        <f t="shared" si="19"/>
        <v>48</v>
      </c>
    </row>
    <row r="103" spans="1:43" x14ac:dyDescent="0.2">
      <c r="A103">
        <v>2750575</v>
      </c>
      <c r="B103" t="s">
        <v>193</v>
      </c>
      <c r="C103" t="s">
        <v>194</v>
      </c>
      <c r="D103" t="s">
        <v>195</v>
      </c>
      <c r="E103" t="s">
        <v>208</v>
      </c>
      <c r="G103">
        <v>10</v>
      </c>
      <c r="H103">
        <v>1</v>
      </c>
      <c r="I103">
        <v>2</v>
      </c>
      <c r="N103">
        <f t="shared" si="10"/>
        <v>1</v>
      </c>
      <c r="O103">
        <f t="shared" si="11"/>
        <v>12</v>
      </c>
      <c r="Q103">
        <v>5</v>
      </c>
      <c r="V103">
        <v>2</v>
      </c>
      <c r="AB103">
        <f t="shared" si="12"/>
        <v>2</v>
      </c>
      <c r="AC103">
        <f t="shared" si="13"/>
        <v>5</v>
      </c>
      <c r="AH103">
        <f t="shared" si="14"/>
        <v>0</v>
      </c>
      <c r="AI103">
        <f t="shared" si="15"/>
        <v>0</v>
      </c>
      <c r="AK103">
        <v>11</v>
      </c>
      <c r="AL103">
        <v>2</v>
      </c>
      <c r="AM103">
        <v>18</v>
      </c>
      <c r="AN103">
        <f t="shared" si="16"/>
        <v>2</v>
      </c>
      <c r="AO103">
        <f t="shared" si="17"/>
        <v>29</v>
      </c>
      <c r="AP103">
        <f t="shared" si="18"/>
        <v>5</v>
      </c>
      <c r="AQ103">
        <f t="shared" si="19"/>
        <v>46</v>
      </c>
    </row>
    <row r="104" spans="1:43" x14ac:dyDescent="0.2">
      <c r="A104">
        <v>2681878</v>
      </c>
      <c r="B104" t="s">
        <v>193</v>
      </c>
      <c r="C104" t="s">
        <v>194</v>
      </c>
      <c r="D104" t="s">
        <v>195</v>
      </c>
      <c r="E104" t="s">
        <v>209</v>
      </c>
      <c r="G104">
        <v>5</v>
      </c>
      <c r="H104">
        <v>1</v>
      </c>
      <c r="I104">
        <v>10</v>
      </c>
      <c r="N104">
        <f t="shared" si="10"/>
        <v>1</v>
      </c>
      <c r="O104">
        <f t="shared" si="11"/>
        <v>15</v>
      </c>
      <c r="AB104">
        <f t="shared" si="12"/>
        <v>0</v>
      </c>
      <c r="AC104">
        <f t="shared" si="13"/>
        <v>0</v>
      </c>
      <c r="AH104">
        <f t="shared" si="14"/>
        <v>0</v>
      </c>
      <c r="AI104">
        <f t="shared" si="15"/>
        <v>0</v>
      </c>
      <c r="AK104">
        <v>12</v>
      </c>
      <c r="AL104">
        <v>1</v>
      </c>
      <c r="AM104">
        <v>8</v>
      </c>
      <c r="AN104">
        <f t="shared" si="16"/>
        <v>1</v>
      </c>
      <c r="AO104">
        <f t="shared" si="17"/>
        <v>20</v>
      </c>
      <c r="AP104">
        <f t="shared" si="18"/>
        <v>2</v>
      </c>
      <c r="AQ104">
        <f t="shared" si="19"/>
        <v>35</v>
      </c>
    </row>
    <row r="105" spans="1:43" x14ac:dyDescent="0.2">
      <c r="A105">
        <v>2536558</v>
      </c>
      <c r="B105" t="s">
        <v>193</v>
      </c>
      <c r="C105" t="s">
        <v>194</v>
      </c>
      <c r="D105" t="s">
        <v>204</v>
      </c>
      <c r="E105" t="s">
        <v>210</v>
      </c>
      <c r="G105">
        <v>10</v>
      </c>
      <c r="H105">
        <v>1</v>
      </c>
      <c r="I105">
        <v>4</v>
      </c>
      <c r="N105">
        <f t="shared" si="10"/>
        <v>1</v>
      </c>
      <c r="O105">
        <f t="shared" si="11"/>
        <v>14</v>
      </c>
      <c r="V105">
        <v>2</v>
      </c>
      <c r="AB105">
        <f t="shared" si="12"/>
        <v>2</v>
      </c>
      <c r="AC105">
        <f t="shared" si="13"/>
        <v>0</v>
      </c>
      <c r="AE105">
        <v>10</v>
      </c>
      <c r="AH105">
        <f t="shared" si="14"/>
        <v>0</v>
      </c>
      <c r="AI105">
        <f t="shared" si="15"/>
        <v>10</v>
      </c>
      <c r="AK105">
        <v>3</v>
      </c>
      <c r="AN105">
        <f t="shared" si="16"/>
        <v>0</v>
      </c>
      <c r="AO105">
        <f t="shared" si="17"/>
        <v>3</v>
      </c>
      <c r="AP105">
        <f t="shared" si="18"/>
        <v>3</v>
      </c>
      <c r="AQ105">
        <f t="shared" si="19"/>
        <v>27</v>
      </c>
    </row>
    <row r="106" spans="1:43" x14ac:dyDescent="0.2">
      <c r="A106">
        <v>191582</v>
      </c>
      <c r="B106" t="s">
        <v>193</v>
      </c>
      <c r="C106" t="s">
        <v>194</v>
      </c>
      <c r="D106" t="s">
        <v>195</v>
      </c>
      <c r="E106" t="s">
        <v>211</v>
      </c>
      <c r="G106">
        <v>15</v>
      </c>
      <c r="H106">
        <v>3</v>
      </c>
      <c r="I106">
        <v>1</v>
      </c>
      <c r="N106">
        <f t="shared" si="10"/>
        <v>3</v>
      </c>
      <c r="O106">
        <f t="shared" si="11"/>
        <v>16</v>
      </c>
      <c r="Q106">
        <v>34</v>
      </c>
      <c r="V106">
        <v>4</v>
      </c>
      <c r="W106">
        <v>11</v>
      </c>
      <c r="AB106">
        <f t="shared" si="12"/>
        <v>4</v>
      </c>
      <c r="AC106">
        <f t="shared" si="13"/>
        <v>45</v>
      </c>
      <c r="AE106">
        <v>13</v>
      </c>
      <c r="AG106">
        <v>17</v>
      </c>
      <c r="AH106">
        <f t="shared" si="14"/>
        <v>0</v>
      </c>
      <c r="AI106">
        <f t="shared" si="15"/>
        <v>30</v>
      </c>
      <c r="AK106">
        <v>22</v>
      </c>
      <c r="AL106">
        <v>4</v>
      </c>
      <c r="AM106">
        <v>8</v>
      </c>
      <c r="AN106">
        <f t="shared" si="16"/>
        <v>4</v>
      </c>
      <c r="AO106">
        <f t="shared" si="17"/>
        <v>30</v>
      </c>
      <c r="AP106">
        <f t="shared" si="18"/>
        <v>11</v>
      </c>
      <c r="AQ106">
        <f t="shared" si="19"/>
        <v>121</v>
      </c>
    </row>
    <row r="107" spans="1:43" x14ac:dyDescent="0.2">
      <c r="A107">
        <v>252543</v>
      </c>
      <c r="B107" t="s">
        <v>193</v>
      </c>
      <c r="C107" t="s">
        <v>194</v>
      </c>
      <c r="D107" t="s">
        <v>195</v>
      </c>
      <c r="E107" t="s">
        <v>212</v>
      </c>
      <c r="G107">
        <v>5</v>
      </c>
      <c r="H107">
        <v>1</v>
      </c>
      <c r="I107">
        <v>15</v>
      </c>
      <c r="N107">
        <f t="shared" si="10"/>
        <v>1</v>
      </c>
      <c r="O107">
        <f t="shared" si="11"/>
        <v>20</v>
      </c>
      <c r="AB107">
        <f t="shared" si="12"/>
        <v>0</v>
      </c>
      <c r="AC107">
        <f t="shared" si="13"/>
        <v>0</v>
      </c>
      <c r="AH107">
        <f t="shared" si="14"/>
        <v>0</v>
      </c>
      <c r="AI107">
        <f t="shared" si="15"/>
        <v>0</v>
      </c>
      <c r="AK107">
        <v>7</v>
      </c>
      <c r="AL107">
        <v>4</v>
      </c>
      <c r="AM107">
        <v>6</v>
      </c>
      <c r="AN107">
        <f t="shared" si="16"/>
        <v>4</v>
      </c>
      <c r="AO107">
        <f t="shared" si="17"/>
        <v>13</v>
      </c>
      <c r="AP107">
        <f t="shared" si="18"/>
        <v>5</v>
      </c>
      <c r="AQ107">
        <f t="shared" si="19"/>
        <v>33</v>
      </c>
    </row>
    <row r="108" spans="1:43" x14ac:dyDescent="0.2">
      <c r="A108">
        <v>953670</v>
      </c>
      <c r="B108" t="s">
        <v>193</v>
      </c>
      <c r="C108" t="s">
        <v>194</v>
      </c>
      <c r="D108" t="s">
        <v>195</v>
      </c>
      <c r="E108" t="s">
        <v>213</v>
      </c>
      <c r="G108">
        <v>5</v>
      </c>
      <c r="H108">
        <v>2</v>
      </c>
      <c r="I108">
        <v>3</v>
      </c>
      <c r="N108">
        <f t="shared" si="10"/>
        <v>2</v>
      </c>
      <c r="O108">
        <f t="shared" si="11"/>
        <v>8</v>
      </c>
      <c r="AB108">
        <f t="shared" si="12"/>
        <v>0</v>
      </c>
      <c r="AC108">
        <f t="shared" si="13"/>
        <v>0</v>
      </c>
      <c r="AE108">
        <v>25</v>
      </c>
      <c r="AH108">
        <f t="shared" si="14"/>
        <v>0</v>
      </c>
      <c r="AI108">
        <f t="shared" si="15"/>
        <v>25</v>
      </c>
      <c r="AL108">
        <v>1</v>
      </c>
      <c r="AN108">
        <f t="shared" si="16"/>
        <v>1</v>
      </c>
      <c r="AO108">
        <f t="shared" si="17"/>
        <v>0</v>
      </c>
      <c r="AP108">
        <f t="shared" si="18"/>
        <v>3</v>
      </c>
      <c r="AQ108">
        <f t="shared" si="19"/>
        <v>33</v>
      </c>
    </row>
    <row r="109" spans="1:43" x14ac:dyDescent="0.2">
      <c r="A109">
        <v>1703933</v>
      </c>
      <c r="B109" t="s">
        <v>193</v>
      </c>
      <c r="C109" t="s">
        <v>194</v>
      </c>
      <c r="D109" t="s">
        <v>214</v>
      </c>
      <c r="E109" t="s">
        <v>215</v>
      </c>
      <c r="G109">
        <v>15</v>
      </c>
      <c r="H109">
        <v>7</v>
      </c>
      <c r="I109">
        <v>21</v>
      </c>
      <c r="N109">
        <f t="shared" si="10"/>
        <v>7</v>
      </c>
      <c r="O109">
        <f t="shared" si="11"/>
        <v>36</v>
      </c>
      <c r="Q109">
        <v>33</v>
      </c>
      <c r="V109">
        <v>3</v>
      </c>
      <c r="AB109">
        <f t="shared" si="12"/>
        <v>3</v>
      </c>
      <c r="AC109">
        <f t="shared" si="13"/>
        <v>33</v>
      </c>
      <c r="AE109">
        <v>15</v>
      </c>
      <c r="AG109">
        <v>6</v>
      </c>
      <c r="AH109">
        <f t="shared" si="14"/>
        <v>0</v>
      </c>
      <c r="AI109">
        <f t="shared" si="15"/>
        <v>21</v>
      </c>
      <c r="AK109">
        <v>8</v>
      </c>
      <c r="AL109">
        <v>4</v>
      </c>
      <c r="AM109">
        <v>14</v>
      </c>
      <c r="AN109">
        <f t="shared" si="16"/>
        <v>4</v>
      </c>
      <c r="AO109">
        <f t="shared" si="17"/>
        <v>22</v>
      </c>
      <c r="AP109">
        <f t="shared" si="18"/>
        <v>14</v>
      </c>
      <c r="AQ109">
        <f t="shared" si="19"/>
        <v>112</v>
      </c>
    </row>
    <row r="110" spans="1:43" x14ac:dyDescent="0.2">
      <c r="A110">
        <v>2160497</v>
      </c>
      <c r="B110" t="s">
        <v>193</v>
      </c>
      <c r="C110" t="s">
        <v>194</v>
      </c>
      <c r="D110" t="s">
        <v>204</v>
      </c>
      <c r="E110" t="s">
        <v>216</v>
      </c>
      <c r="G110">
        <v>12</v>
      </c>
      <c r="H110">
        <v>4</v>
      </c>
      <c r="I110">
        <v>2</v>
      </c>
      <c r="N110">
        <f t="shared" si="10"/>
        <v>4</v>
      </c>
      <c r="O110">
        <f t="shared" si="11"/>
        <v>14</v>
      </c>
      <c r="Q110">
        <v>1</v>
      </c>
      <c r="AB110">
        <f t="shared" si="12"/>
        <v>0</v>
      </c>
      <c r="AC110">
        <f t="shared" si="13"/>
        <v>1</v>
      </c>
      <c r="AE110">
        <v>15</v>
      </c>
      <c r="AH110">
        <f t="shared" si="14"/>
        <v>0</v>
      </c>
      <c r="AI110">
        <f t="shared" si="15"/>
        <v>15</v>
      </c>
      <c r="AK110">
        <v>10</v>
      </c>
      <c r="AL110">
        <v>1</v>
      </c>
      <c r="AM110">
        <v>3</v>
      </c>
      <c r="AN110">
        <f t="shared" si="16"/>
        <v>1</v>
      </c>
      <c r="AO110">
        <f t="shared" si="17"/>
        <v>13</v>
      </c>
      <c r="AP110">
        <f t="shared" si="18"/>
        <v>5</v>
      </c>
      <c r="AQ110">
        <f t="shared" si="19"/>
        <v>43</v>
      </c>
    </row>
    <row r="111" spans="1:43" x14ac:dyDescent="0.2">
      <c r="A111">
        <v>2228251</v>
      </c>
      <c r="B111" t="s">
        <v>193</v>
      </c>
      <c r="C111" t="s">
        <v>194</v>
      </c>
      <c r="D111" t="s">
        <v>204</v>
      </c>
      <c r="E111" t="s">
        <v>217</v>
      </c>
      <c r="G111">
        <v>11</v>
      </c>
      <c r="H111">
        <v>3</v>
      </c>
      <c r="I111">
        <v>2</v>
      </c>
      <c r="N111">
        <f t="shared" si="10"/>
        <v>3</v>
      </c>
      <c r="O111">
        <f t="shared" si="11"/>
        <v>13</v>
      </c>
      <c r="AB111">
        <f t="shared" si="12"/>
        <v>0</v>
      </c>
      <c r="AC111">
        <f t="shared" si="13"/>
        <v>0</v>
      </c>
      <c r="AE111">
        <v>14</v>
      </c>
      <c r="AH111">
        <f t="shared" si="14"/>
        <v>0</v>
      </c>
      <c r="AI111">
        <f t="shared" si="15"/>
        <v>14</v>
      </c>
      <c r="AK111">
        <v>14</v>
      </c>
      <c r="AL111">
        <v>4</v>
      </c>
      <c r="AN111">
        <f t="shared" si="16"/>
        <v>4</v>
      </c>
      <c r="AO111">
        <f t="shared" si="17"/>
        <v>14</v>
      </c>
      <c r="AP111">
        <f t="shared" si="18"/>
        <v>7</v>
      </c>
      <c r="AQ111">
        <f t="shared" si="19"/>
        <v>41</v>
      </c>
    </row>
    <row r="112" spans="1:43" x14ac:dyDescent="0.2">
      <c r="B112" t="s">
        <v>193</v>
      </c>
      <c r="C112" t="s">
        <v>194</v>
      </c>
      <c r="D112" t="s">
        <v>218</v>
      </c>
      <c r="E112" t="s">
        <v>219</v>
      </c>
      <c r="N112">
        <f t="shared" si="10"/>
        <v>0</v>
      </c>
      <c r="O112">
        <f t="shared" si="11"/>
        <v>0</v>
      </c>
      <c r="Q112">
        <v>28</v>
      </c>
      <c r="V112">
        <v>3</v>
      </c>
      <c r="AB112">
        <f t="shared" si="12"/>
        <v>3</v>
      </c>
      <c r="AC112">
        <f t="shared" si="13"/>
        <v>28</v>
      </c>
      <c r="AH112">
        <f t="shared" si="14"/>
        <v>0</v>
      </c>
      <c r="AI112">
        <f t="shared" si="15"/>
        <v>0</v>
      </c>
      <c r="AK112">
        <v>1</v>
      </c>
      <c r="AN112">
        <f t="shared" si="16"/>
        <v>0</v>
      </c>
      <c r="AO112">
        <f t="shared" si="17"/>
        <v>1</v>
      </c>
      <c r="AP112">
        <f t="shared" si="18"/>
        <v>3</v>
      </c>
      <c r="AQ112">
        <f t="shared" si="19"/>
        <v>29</v>
      </c>
    </row>
    <row r="113" spans="1:43" x14ac:dyDescent="0.2">
      <c r="A113">
        <v>3648810</v>
      </c>
      <c r="B113" t="s">
        <v>193</v>
      </c>
      <c r="C113" t="s">
        <v>194</v>
      </c>
      <c r="D113" t="s">
        <v>195</v>
      </c>
      <c r="E113" t="s">
        <v>220</v>
      </c>
      <c r="G113">
        <v>2</v>
      </c>
      <c r="N113">
        <f t="shared" si="10"/>
        <v>0</v>
      </c>
      <c r="O113">
        <f t="shared" si="11"/>
        <v>2</v>
      </c>
      <c r="Q113">
        <v>1</v>
      </c>
      <c r="AB113">
        <f t="shared" si="12"/>
        <v>0</v>
      </c>
      <c r="AC113">
        <f t="shared" si="13"/>
        <v>1</v>
      </c>
      <c r="AE113">
        <v>2</v>
      </c>
      <c r="AH113">
        <f t="shared" si="14"/>
        <v>0</v>
      </c>
      <c r="AI113">
        <f t="shared" si="15"/>
        <v>2</v>
      </c>
      <c r="AN113">
        <f t="shared" si="16"/>
        <v>0</v>
      </c>
      <c r="AO113">
        <f t="shared" si="17"/>
        <v>0</v>
      </c>
      <c r="AP113">
        <f t="shared" si="18"/>
        <v>0</v>
      </c>
      <c r="AQ113">
        <f t="shared" si="19"/>
        <v>5</v>
      </c>
    </row>
    <row r="114" spans="1:43" x14ac:dyDescent="0.2">
      <c r="A114">
        <v>2069058</v>
      </c>
      <c r="B114" t="s">
        <v>193</v>
      </c>
      <c r="C114" t="s">
        <v>194</v>
      </c>
      <c r="D114" t="s">
        <v>195</v>
      </c>
      <c r="E114" t="s">
        <v>221</v>
      </c>
      <c r="G114">
        <v>5</v>
      </c>
      <c r="H114">
        <v>1</v>
      </c>
      <c r="I114">
        <v>19</v>
      </c>
      <c r="N114">
        <f t="shared" si="10"/>
        <v>1</v>
      </c>
      <c r="O114">
        <f t="shared" si="11"/>
        <v>24</v>
      </c>
      <c r="AB114">
        <f t="shared" si="12"/>
        <v>0</v>
      </c>
      <c r="AC114">
        <f t="shared" si="13"/>
        <v>0</v>
      </c>
      <c r="AE114">
        <v>10</v>
      </c>
      <c r="AH114">
        <f t="shared" si="14"/>
        <v>0</v>
      </c>
      <c r="AI114">
        <f t="shared" si="15"/>
        <v>10</v>
      </c>
      <c r="AK114">
        <v>14</v>
      </c>
      <c r="AL114">
        <v>1</v>
      </c>
      <c r="AM114">
        <v>11</v>
      </c>
      <c r="AN114">
        <f t="shared" si="16"/>
        <v>1</v>
      </c>
      <c r="AO114">
        <f t="shared" si="17"/>
        <v>25</v>
      </c>
      <c r="AP114">
        <f t="shared" si="18"/>
        <v>2</v>
      </c>
      <c r="AQ114">
        <f t="shared" si="19"/>
        <v>59</v>
      </c>
    </row>
    <row r="115" spans="1:43" x14ac:dyDescent="0.2">
      <c r="A115">
        <v>2595133</v>
      </c>
      <c r="B115" t="s">
        <v>193</v>
      </c>
      <c r="C115" t="s">
        <v>194</v>
      </c>
      <c r="D115" t="s">
        <v>222</v>
      </c>
      <c r="E115" t="s">
        <v>223</v>
      </c>
      <c r="N115">
        <f t="shared" si="10"/>
        <v>0</v>
      </c>
      <c r="O115">
        <f t="shared" si="11"/>
        <v>0</v>
      </c>
      <c r="Q115">
        <v>1</v>
      </c>
      <c r="V115">
        <v>1</v>
      </c>
      <c r="W115">
        <v>8</v>
      </c>
      <c r="AB115">
        <f t="shared" si="12"/>
        <v>1</v>
      </c>
      <c r="AC115">
        <f t="shared" si="13"/>
        <v>9</v>
      </c>
      <c r="AE115">
        <v>2.8</v>
      </c>
      <c r="AG115">
        <v>3</v>
      </c>
      <c r="AH115">
        <f t="shared" si="14"/>
        <v>0</v>
      </c>
      <c r="AI115">
        <f t="shared" si="15"/>
        <v>5.8</v>
      </c>
      <c r="AK115">
        <v>4</v>
      </c>
      <c r="AL115">
        <v>2</v>
      </c>
      <c r="AM115">
        <v>15</v>
      </c>
      <c r="AN115">
        <f t="shared" si="16"/>
        <v>2</v>
      </c>
      <c r="AO115">
        <f t="shared" si="17"/>
        <v>19</v>
      </c>
      <c r="AP115">
        <f t="shared" si="18"/>
        <v>3</v>
      </c>
      <c r="AQ115">
        <f t="shared" si="19"/>
        <v>33.799999999999997</v>
      </c>
    </row>
    <row r="116" spans="1:43" x14ac:dyDescent="0.2">
      <c r="A116">
        <v>6822475</v>
      </c>
      <c r="B116" t="s">
        <v>193</v>
      </c>
      <c r="C116" t="s">
        <v>194</v>
      </c>
      <c r="D116" t="s">
        <v>25</v>
      </c>
      <c r="E116" t="s">
        <v>224</v>
      </c>
      <c r="N116">
        <f t="shared" si="10"/>
        <v>0</v>
      </c>
      <c r="O116">
        <f t="shared" si="11"/>
        <v>0</v>
      </c>
      <c r="V116">
        <v>4</v>
      </c>
      <c r="W116">
        <v>21</v>
      </c>
      <c r="AB116">
        <f t="shared" si="12"/>
        <v>4</v>
      </c>
      <c r="AC116">
        <f t="shared" si="13"/>
        <v>21</v>
      </c>
      <c r="AH116">
        <f t="shared" si="14"/>
        <v>0</v>
      </c>
      <c r="AI116">
        <f t="shared" si="15"/>
        <v>0</v>
      </c>
      <c r="AN116">
        <f t="shared" si="16"/>
        <v>0</v>
      </c>
      <c r="AO116">
        <f t="shared" si="17"/>
        <v>0</v>
      </c>
      <c r="AP116">
        <f t="shared" si="18"/>
        <v>4</v>
      </c>
      <c r="AQ116">
        <f t="shared" si="19"/>
        <v>21</v>
      </c>
    </row>
    <row r="117" spans="1:43" x14ac:dyDescent="0.2">
      <c r="A117">
        <v>674010</v>
      </c>
      <c r="B117" t="s">
        <v>193</v>
      </c>
      <c r="C117" t="s">
        <v>194</v>
      </c>
      <c r="D117" t="s">
        <v>197</v>
      </c>
      <c r="E117" t="s">
        <v>225</v>
      </c>
      <c r="N117">
        <f t="shared" si="10"/>
        <v>0</v>
      </c>
      <c r="O117">
        <f t="shared" si="11"/>
        <v>0</v>
      </c>
      <c r="V117">
        <v>3</v>
      </c>
      <c r="W117">
        <v>25</v>
      </c>
      <c r="AB117">
        <f t="shared" si="12"/>
        <v>3</v>
      </c>
      <c r="AC117">
        <f t="shared" si="13"/>
        <v>25</v>
      </c>
      <c r="AH117">
        <f t="shared" si="14"/>
        <v>0</v>
      </c>
      <c r="AI117">
        <f t="shared" si="15"/>
        <v>0</v>
      </c>
      <c r="AN117">
        <f t="shared" si="16"/>
        <v>0</v>
      </c>
      <c r="AO117">
        <f t="shared" si="17"/>
        <v>0</v>
      </c>
      <c r="AP117">
        <f t="shared" si="18"/>
        <v>3</v>
      </c>
      <c r="AQ117">
        <f t="shared" si="19"/>
        <v>25</v>
      </c>
    </row>
    <row r="118" spans="1:43" x14ac:dyDescent="0.2">
      <c r="A118">
        <v>388462</v>
      </c>
      <c r="B118" t="s">
        <v>193</v>
      </c>
      <c r="C118" t="s">
        <v>194</v>
      </c>
      <c r="D118" t="s">
        <v>197</v>
      </c>
      <c r="E118" t="s">
        <v>226</v>
      </c>
      <c r="N118">
        <f t="shared" si="10"/>
        <v>0</v>
      </c>
      <c r="O118">
        <f t="shared" si="11"/>
        <v>0</v>
      </c>
      <c r="AB118">
        <f t="shared" si="12"/>
        <v>0</v>
      </c>
      <c r="AC118">
        <f t="shared" si="13"/>
        <v>0</v>
      </c>
      <c r="AH118">
        <f t="shared" si="14"/>
        <v>0</v>
      </c>
      <c r="AI118">
        <f t="shared" si="15"/>
        <v>0</v>
      </c>
      <c r="AN118">
        <f t="shared" si="16"/>
        <v>0</v>
      </c>
      <c r="AO118">
        <f t="shared" si="17"/>
        <v>0</v>
      </c>
      <c r="AP118">
        <f t="shared" si="18"/>
        <v>0</v>
      </c>
      <c r="AQ118">
        <f t="shared" si="19"/>
        <v>0</v>
      </c>
    </row>
    <row r="119" spans="1:43" x14ac:dyDescent="0.2">
      <c r="A119">
        <v>252521</v>
      </c>
      <c r="B119" t="s">
        <v>193</v>
      </c>
      <c r="C119" t="s">
        <v>48</v>
      </c>
      <c r="D119" t="s">
        <v>51</v>
      </c>
      <c r="E119" t="s">
        <v>227</v>
      </c>
      <c r="N119">
        <f t="shared" si="10"/>
        <v>0</v>
      </c>
      <c r="O119">
        <f t="shared" si="11"/>
        <v>0</v>
      </c>
      <c r="AB119">
        <f t="shared" si="12"/>
        <v>0</v>
      </c>
      <c r="AC119">
        <f t="shared" si="13"/>
        <v>0</v>
      </c>
      <c r="AH119">
        <f t="shared" si="14"/>
        <v>0</v>
      </c>
      <c r="AI119">
        <f t="shared" si="15"/>
        <v>0</v>
      </c>
      <c r="AN119">
        <f t="shared" si="16"/>
        <v>0</v>
      </c>
      <c r="AO119">
        <f t="shared" si="17"/>
        <v>0</v>
      </c>
      <c r="AP119">
        <f t="shared" si="18"/>
        <v>0</v>
      </c>
      <c r="AQ119">
        <f t="shared" si="19"/>
        <v>0</v>
      </c>
    </row>
    <row r="120" spans="1:43" x14ac:dyDescent="0.2">
      <c r="A120">
        <v>329104</v>
      </c>
      <c r="B120" t="s">
        <v>193</v>
      </c>
      <c r="C120" t="s">
        <v>228</v>
      </c>
      <c r="D120" t="s">
        <v>56</v>
      </c>
      <c r="E120" t="s">
        <v>229</v>
      </c>
      <c r="N120">
        <f t="shared" si="10"/>
        <v>0</v>
      </c>
      <c r="O120">
        <f t="shared" si="11"/>
        <v>0</v>
      </c>
      <c r="Q120">
        <v>12</v>
      </c>
      <c r="W120">
        <v>12</v>
      </c>
      <c r="AB120">
        <f t="shared" si="12"/>
        <v>0</v>
      </c>
      <c r="AC120">
        <f t="shared" si="13"/>
        <v>24</v>
      </c>
      <c r="AH120">
        <f t="shared" si="14"/>
        <v>0</v>
      </c>
      <c r="AI120">
        <f t="shared" si="15"/>
        <v>0</v>
      </c>
      <c r="AN120">
        <f t="shared" si="16"/>
        <v>0</v>
      </c>
      <c r="AO120">
        <f t="shared" si="17"/>
        <v>0</v>
      </c>
      <c r="AP120">
        <f t="shared" si="18"/>
        <v>0</v>
      </c>
      <c r="AQ120">
        <f t="shared" si="19"/>
        <v>24</v>
      </c>
    </row>
    <row r="121" spans="1:43" x14ac:dyDescent="0.2">
      <c r="A121">
        <v>841768</v>
      </c>
      <c r="B121" t="s">
        <v>193</v>
      </c>
      <c r="C121" t="s">
        <v>230</v>
      </c>
      <c r="D121" t="s">
        <v>231</v>
      </c>
      <c r="E121" t="s">
        <v>232</v>
      </c>
      <c r="G121">
        <v>11</v>
      </c>
      <c r="H121">
        <v>1</v>
      </c>
      <c r="I121">
        <v>2</v>
      </c>
      <c r="N121">
        <f t="shared" si="10"/>
        <v>1</v>
      </c>
      <c r="O121">
        <f t="shared" si="11"/>
        <v>13</v>
      </c>
      <c r="AB121">
        <f t="shared" si="12"/>
        <v>0</v>
      </c>
      <c r="AC121">
        <f t="shared" si="13"/>
        <v>0</v>
      </c>
      <c r="AE121">
        <v>9</v>
      </c>
      <c r="AH121">
        <f t="shared" si="14"/>
        <v>0</v>
      </c>
      <c r="AI121">
        <f t="shared" si="15"/>
        <v>9</v>
      </c>
      <c r="AN121">
        <f t="shared" si="16"/>
        <v>0</v>
      </c>
      <c r="AO121">
        <f t="shared" si="17"/>
        <v>0</v>
      </c>
      <c r="AP121">
        <f t="shared" si="18"/>
        <v>1</v>
      </c>
      <c r="AQ121">
        <f t="shared" si="19"/>
        <v>22</v>
      </c>
    </row>
    <row r="122" spans="1:43" x14ac:dyDescent="0.2">
      <c r="A122">
        <v>400356</v>
      </c>
      <c r="B122" t="s">
        <v>193</v>
      </c>
      <c r="C122" t="s">
        <v>233</v>
      </c>
      <c r="D122" t="s">
        <v>231</v>
      </c>
      <c r="E122" t="s">
        <v>234</v>
      </c>
      <c r="G122">
        <v>12</v>
      </c>
      <c r="I122">
        <v>14</v>
      </c>
      <c r="N122">
        <f t="shared" si="10"/>
        <v>0</v>
      </c>
      <c r="O122">
        <f t="shared" si="11"/>
        <v>26</v>
      </c>
      <c r="AB122">
        <f t="shared" si="12"/>
        <v>0</v>
      </c>
      <c r="AC122">
        <f t="shared" si="13"/>
        <v>0</v>
      </c>
      <c r="AE122">
        <v>23</v>
      </c>
      <c r="AH122">
        <f t="shared" si="14"/>
        <v>0</v>
      </c>
      <c r="AI122">
        <f t="shared" si="15"/>
        <v>23</v>
      </c>
      <c r="AN122">
        <f t="shared" si="16"/>
        <v>0</v>
      </c>
      <c r="AO122">
        <f t="shared" si="17"/>
        <v>0</v>
      </c>
      <c r="AP122">
        <f t="shared" si="18"/>
        <v>0</v>
      </c>
      <c r="AQ122">
        <f t="shared" si="19"/>
        <v>49</v>
      </c>
    </row>
    <row r="123" spans="1:43" x14ac:dyDescent="0.2">
      <c r="A123">
        <v>401333</v>
      </c>
      <c r="B123" t="s">
        <v>193</v>
      </c>
      <c r="C123" t="s">
        <v>233</v>
      </c>
      <c r="D123" t="s">
        <v>190</v>
      </c>
      <c r="E123" t="s">
        <v>235</v>
      </c>
      <c r="N123">
        <f t="shared" si="10"/>
        <v>0</v>
      </c>
      <c r="O123">
        <f t="shared" si="11"/>
        <v>0</v>
      </c>
      <c r="AB123">
        <f t="shared" si="12"/>
        <v>0</v>
      </c>
      <c r="AC123">
        <f t="shared" si="13"/>
        <v>0</v>
      </c>
      <c r="AH123">
        <f t="shared" si="14"/>
        <v>0</v>
      </c>
      <c r="AI123">
        <f t="shared" si="15"/>
        <v>0</v>
      </c>
      <c r="AN123">
        <f t="shared" si="16"/>
        <v>0</v>
      </c>
      <c r="AO123">
        <f t="shared" si="17"/>
        <v>0</v>
      </c>
      <c r="AP123">
        <f t="shared" si="18"/>
        <v>0</v>
      </c>
      <c r="AQ123">
        <f t="shared" si="19"/>
        <v>0</v>
      </c>
    </row>
    <row r="124" spans="1:43" x14ac:dyDescent="0.2">
      <c r="A124">
        <v>401023</v>
      </c>
      <c r="B124" t="s">
        <v>193</v>
      </c>
      <c r="C124" t="s">
        <v>233</v>
      </c>
      <c r="D124" t="s">
        <v>190</v>
      </c>
      <c r="E124" t="s">
        <v>236</v>
      </c>
      <c r="I124">
        <v>0.3</v>
      </c>
      <c r="J124">
        <v>2</v>
      </c>
      <c r="K124">
        <v>2</v>
      </c>
      <c r="N124">
        <f t="shared" si="10"/>
        <v>2</v>
      </c>
      <c r="O124">
        <f t="shared" si="11"/>
        <v>2.2999999999999998</v>
      </c>
      <c r="Q124">
        <v>2.2999999999999998</v>
      </c>
      <c r="V124">
        <v>1</v>
      </c>
      <c r="W124">
        <v>5</v>
      </c>
      <c r="AB124">
        <f t="shared" si="12"/>
        <v>1</v>
      </c>
      <c r="AC124">
        <f t="shared" si="13"/>
        <v>7.3</v>
      </c>
      <c r="AE124">
        <v>4</v>
      </c>
      <c r="AH124">
        <f t="shared" si="14"/>
        <v>0</v>
      </c>
      <c r="AI124">
        <f t="shared" si="15"/>
        <v>4</v>
      </c>
      <c r="AK124">
        <v>0.5</v>
      </c>
      <c r="AM124">
        <v>4</v>
      </c>
      <c r="AN124">
        <f t="shared" si="16"/>
        <v>0</v>
      </c>
      <c r="AO124">
        <f t="shared" si="17"/>
        <v>4.5</v>
      </c>
      <c r="AP124">
        <f t="shared" si="18"/>
        <v>3</v>
      </c>
      <c r="AQ124">
        <f t="shared" si="19"/>
        <v>18.100000000000001</v>
      </c>
    </row>
    <row r="125" spans="1:43" x14ac:dyDescent="0.2">
      <c r="B125" t="s">
        <v>193</v>
      </c>
      <c r="C125" t="s">
        <v>233</v>
      </c>
      <c r="D125" t="s">
        <v>190</v>
      </c>
      <c r="E125" t="s">
        <v>237</v>
      </c>
      <c r="I125">
        <v>0.4</v>
      </c>
      <c r="K125">
        <v>7</v>
      </c>
      <c r="N125">
        <f t="shared" si="10"/>
        <v>0</v>
      </c>
      <c r="O125">
        <f t="shared" si="11"/>
        <v>7.4</v>
      </c>
      <c r="Q125">
        <v>1</v>
      </c>
      <c r="V125">
        <v>1</v>
      </c>
      <c r="W125">
        <v>6</v>
      </c>
      <c r="AB125">
        <f t="shared" si="12"/>
        <v>1</v>
      </c>
      <c r="AC125">
        <f t="shared" si="13"/>
        <v>7</v>
      </c>
      <c r="AH125">
        <f t="shared" si="14"/>
        <v>0</v>
      </c>
      <c r="AI125">
        <f t="shared" si="15"/>
        <v>0</v>
      </c>
      <c r="AN125">
        <f t="shared" si="16"/>
        <v>0</v>
      </c>
      <c r="AO125">
        <f t="shared" si="17"/>
        <v>0</v>
      </c>
      <c r="AP125">
        <f t="shared" si="18"/>
        <v>1</v>
      </c>
      <c r="AQ125">
        <f t="shared" si="19"/>
        <v>14.4</v>
      </c>
    </row>
    <row r="126" spans="1:43" x14ac:dyDescent="0.2">
      <c r="A126">
        <v>391256</v>
      </c>
      <c r="B126" t="s">
        <v>193</v>
      </c>
      <c r="C126" t="s">
        <v>233</v>
      </c>
      <c r="D126" t="s">
        <v>190</v>
      </c>
      <c r="E126" t="s">
        <v>238</v>
      </c>
      <c r="I126">
        <v>1.2</v>
      </c>
      <c r="K126">
        <v>5</v>
      </c>
      <c r="N126">
        <f t="shared" si="10"/>
        <v>0</v>
      </c>
      <c r="O126">
        <f t="shared" si="11"/>
        <v>6.2</v>
      </c>
      <c r="Q126">
        <v>2.4</v>
      </c>
      <c r="V126">
        <v>1</v>
      </c>
      <c r="W126">
        <v>2</v>
      </c>
      <c r="AB126">
        <f t="shared" si="12"/>
        <v>1</v>
      </c>
      <c r="AC126">
        <f t="shared" si="13"/>
        <v>4.4000000000000004</v>
      </c>
      <c r="AH126">
        <f t="shared" si="14"/>
        <v>0</v>
      </c>
      <c r="AI126">
        <f t="shared" si="15"/>
        <v>0</v>
      </c>
      <c r="AN126">
        <f t="shared" si="16"/>
        <v>0</v>
      </c>
      <c r="AO126">
        <f t="shared" si="17"/>
        <v>0</v>
      </c>
      <c r="AP126">
        <f t="shared" si="18"/>
        <v>1</v>
      </c>
      <c r="AQ126">
        <f t="shared" si="19"/>
        <v>10.600000000000001</v>
      </c>
    </row>
    <row r="127" spans="1:43" x14ac:dyDescent="0.2">
      <c r="A127">
        <v>4969238</v>
      </c>
      <c r="B127" t="s">
        <v>193</v>
      </c>
      <c r="C127" t="s">
        <v>233</v>
      </c>
      <c r="D127" t="s">
        <v>190</v>
      </c>
      <c r="E127" t="s">
        <v>239</v>
      </c>
      <c r="N127">
        <f t="shared" si="10"/>
        <v>0</v>
      </c>
      <c r="O127">
        <f t="shared" si="11"/>
        <v>0</v>
      </c>
      <c r="Q127">
        <v>1.4</v>
      </c>
      <c r="W127">
        <v>15</v>
      </c>
      <c r="AB127">
        <f t="shared" si="12"/>
        <v>0</v>
      </c>
      <c r="AC127">
        <f t="shared" si="13"/>
        <v>16.399999999999999</v>
      </c>
      <c r="AH127">
        <f t="shared" si="14"/>
        <v>0</v>
      </c>
      <c r="AI127">
        <f t="shared" si="15"/>
        <v>0</v>
      </c>
      <c r="AN127">
        <f t="shared" si="16"/>
        <v>0</v>
      </c>
      <c r="AO127">
        <f t="shared" si="17"/>
        <v>0</v>
      </c>
      <c r="AP127">
        <f t="shared" si="18"/>
        <v>0</v>
      </c>
      <c r="AQ127">
        <f t="shared" si="19"/>
        <v>16.399999999999999</v>
      </c>
    </row>
    <row r="128" spans="1:43" x14ac:dyDescent="0.2">
      <c r="A128">
        <v>4956101</v>
      </c>
      <c r="B128" t="s">
        <v>193</v>
      </c>
      <c r="C128" t="s">
        <v>233</v>
      </c>
      <c r="D128" t="s">
        <v>240</v>
      </c>
      <c r="E128" t="s">
        <v>241</v>
      </c>
      <c r="I128">
        <v>1.7</v>
      </c>
      <c r="J128">
        <v>1</v>
      </c>
      <c r="K128">
        <v>14</v>
      </c>
      <c r="N128">
        <f t="shared" si="10"/>
        <v>1</v>
      </c>
      <c r="O128">
        <f t="shared" si="11"/>
        <v>15.7</v>
      </c>
      <c r="AB128">
        <f t="shared" si="12"/>
        <v>0</v>
      </c>
      <c r="AC128">
        <f t="shared" si="13"/>
        <v>0</v>
      </c>
      <c r="AH128">
        <f t="shared" si="14"/>
        <v>0</v>
      </c>
      <c r="AI128">
        <f t="shared" si="15"/>
        <v>0</v>
      </c>
      <c r="AK128">
        <v>1.4</v>
      </c>
      <c r="AL128">
        <v>1</v>
      </c>
      <c r="AM128">
        <v>3</v>
      </c>
      <c r="AN128">
        <f t="shared" si="16"/>
        <v>1</v>
      </c>
      <c r="AO128">
        <f t="shared" si="17"/>
        <v>4.4000000000000004</v>
      </c>
      <c r="AP128">
        <f t="shared" si="18"/>
        <v>2</v>
      </c>
      <c r="AQ128">
        <f t="shared" si="19"/>
        <v>20.100000000000001</v>
      </c>
    </row>
    <row r="129" spans="1:43" x14ac:dyDescent="0.2">
      <c r="A129">
        <v>252519</v>
      </c>
      <c r="B129" t="s">
        <v>193</v>
      </c>
      <c r="C129" t="s">
        <v>233</v>
      </c>
      <c r="D129" t="s">
        <v>190</v>
      </c>
      <c r="E129" t="s">
        <v>242</v>
      </c>
      <c r="K129">
        <v>1</v>
      </c>
      <c r="N129">
        <f t="shared" si="10"/>
        <v>0</v>
      </c>
      <c r="O129">
        <f t="shared" si="11"/>
        <v>1</v>
      </c>
      <c r="AB129">
        <f t="shared" si="12"/>
        <v>0</v>
      </c>
      <c r="AC129">
        <f t="shared" si="13"/>
        <v>0</v>
      </c>
      <c r="AH129">
        <f t="shared" si="14"/>
        <v>0</v>
      </c>
      <c r="AI129">
        <f t="shared" si="15"/>
        <v>0</v>
      </c>
      <c r="AN129">
        <f t="shared" si="16"/>
        <v>0</v>
      </c>
      <c r="AO129">
        <f t="shared" si="17"/>
        <v>0</v>
      </c>
      <c r="AP129">
        <f t="shared" si="18"/>
        <v>0</v>
      </c>
      <c r="AQ129">
        <f t="shared" si="19"/>
        <v>1</v>
      </c>
    </row>
    <row r="130" spans="1:43" x14ac:dyDescent="0.2">
      <c r="A130">
        <v>227594</v>
      </c>
      <c r="B130" t="s">
        <v>193</v>
      </c>
      <c r="C130" t="s">
        <v>233</v>
      </c>
      <c r="D130" t="s">
        <v>67</v>
      </c>
      <c r="E130" t="s">
        <v>243</v>
      </c>
      <c r="I130">
        <v>1</v>
      </c>
      <c r="K130">
        <v>11</v>
      </c>
      <c r="N130">
        <f t="shared" si="10"/>
        <v>0</v>
      </c>
      <c r="O130">
        <f t="shared" si="11"/>
        <v>12</v>
      </c>
      <c r="AB130">
        <f t="shared" si="12"/>
        <v>0</v>
      </c>
      <c r="AC130">
        <f t="shared" si="13"/>
        <v>0</v>
      </c>
      <c r="AH130">
        <f t="shared" si="14"/>
        <v>0</v>
      </c>
      <c r="AI130">
        <f t="shared" si="15"/>
        <v>0</v>
      </c>
      <c r="AK130">
        <v>0.3</v>
      </c>
      <c r="AN130">
        <f t="shared" si="16"/>
        <v>0</v>
      </c>
      <c r="AO130">
        <f t="shared" si="17"/>
        <v>0.3</v>
      </c>
      <c r="AP130">
        <f t="shared" si="18"/>
        <v>0</v>
      </c>
      <c r="AQ130">
        <f t="shared" si="19"/>
        <v>12.3</v>
      </c>
    </row>
    <row r="131" spans="1:43" x14ac:dyDescent="0.2">
      <c r="A131">
        <v>2242030</v>
      </c>
      <c r="B131" t="s">
        <v>193</v>
      </c>
      <c r="C131" t="s">
        <v>233</v>
      </c>
      <c r="D131" t="s">
        <v>67</v>
      </c>
      <c r="E131" t="s">
        <v>244</v>
      </c>
      <c r="I131">
        <v>0.2</v>
      </c>
      <c r="K131">
        <v>3</v>
      </c>
      <c r="N131">
        <f t="shared" ref="N131:N194" si="20">SUM(F131,H131,J131,L131)</f>
        <v>0</v>
      </c>
      <c r="O131">
        <f t="shared" ref="O131:O194" si="21">SUM(G131,I131,K131,M131)</f>
        <v>3.2</v>
      </c>
      <c r="AB131">
        <f t="shared" ref="AB131:AB194" si="22">SUM(P131,R131,T131,V131,X131,Z131)</f>
        <v>0</v>
      </c>
      <c r="AC131">
        <f t="shared" ref="AC131:AC194" si="23">SUM(Q131,S131,U131,W131,Y131,AA131)</f>
        <v>0</v>
      </c>
      <c r="AG131">
        <v>2</v>
      </c>
      <c r="AH131">
        <f t="shared" ref="AH131:AH194" si="24">SUM(AD131,AF131)</f>
        <v>0</v>
      </c>
      <c r="AI131">
        <f t="shared" ref="AI131:AI194" si="25">SUM(AE131,AG131)</f>
        <v>2</v>
      </c>
      <c r="AK131">
        <v>1.8</v>
      </c>
      <c r="AN131">
        <f t="shared" ref="AN131:AN194" si="26">SUM(AJ131,AL131)</f>
        <v>0</v>
      </c>
      <c r="AO131">
        <f t="shared" ref="AO131:AO194" si="27">SUM(AK131,AM131)</f>
        <v>1.8</v>
      </c>
      <c r="AP131">
        <f t="shared" ref="AP131:AP194" si="28">SUM(N131,AB131,AH131,AN131)</f>
        <v>0</v>
      </c>
      <c r="AQ131">
        <f t="shared" ref="AQ131:AQ194" si="29">SUM(O131,AC131,AI131,AO131)</f>
        <v>7</v>
      </c>
    </row>
    <row r="132" spans="1:43" x14ac:dyDescent="0.2">
      <c r="A132">
        <v>547032</v>
      </c>
      <c r="B132" t="s">
        <v>193</v>
      </c>
      <c r="C132" t="s">
        <v>233</v>
      </c>
      <c r="D132" t="s">
        <v>245</v>
      </c>
      <c r="E132" t="s">
        <v>246</v>
      </c>
      <c r="I132">
        <v>0.6</v>
      </c>
      <c r="K132">
        <v>4</v>
      </c>
      <c r="N132">
        <f t="shared" si="20"/>
        <v>0</v>
      </c>
      <c r="O132">
        <f t="shared" si="21"/>
        <v>4.5999999999999996</v>
      </c>
      <c r="Q132">
        <v>0.7</v>
      </c>
      <c r="AB132">
        <f t="shared" si="22"/>
        <v>0</v>
      </c>
      <c r="AC132">
        <f t="shared" si="23"/>
        <v>0.7</v>
      </c>
      <c r="AH132">
        <f t="shared" si="24"/>
        <v>0</v>
      </c>
      <c r="AI132">
        <f t="shared" si="25"/>
        <v>0</v>
      </c>
      <c r="AN132">
        <f t="shared" si="26"/>
        <v>0</v>
      </c>
      <c r="AO132">
        <f t="shared" si="27"/>
        <v>0</v>
      </c>
      <c r="AP132">
        <f t="shared" si="28"/>
        <v>0</v>
      </c>
      <c r="AQ132">
        <f t="shared" si="29"/>
        <v>5.3</v>
      </c>
    </row>
    <row r="133" spans="1:43" x14ac:dyDescent="0.2">
      <c r="A133">
        <v>2595277</v>
      </c>
      <c r="B133" t="s">
        <v>193</v>
      </c>
      <c r="C133" t="s">
        <v>233</v>
      </c>
      <c r="D133" t="s">
        <v>247</v>
      </c>
      <c r="E133" t="s">
        <v>248</v>
      </c>
      <c r="I133">
        <v>10.5</v>
      </c>
      <c r="N133">
        <f t="shared" si="20"/>
        <v>0</v>
      </c>
      <c r="O133">
        <f t="shared" si="21"/>
        <v>10.5</v>
      </c>
      <c r="AB133">
        <f t="shared" si="22"/>
        <v>0</v>
      </c>
      <c r="AC133">
        <f t="shared" si="23"/>
        <v>0</v>
      </c>
      <c r="AE133">
        <v>1.4</v>
      </c>
      <c r="AH133">
        <f t="shared" si="24"/>
        <v>0</v>
      </c>
      <c r="AI133">
        <f t="shared" si="25"/>
        <v>1.4</v>
      </c>
      <c r="AN133">
        <f t="shared" si="26"/>
        <v>0</v>
      </c>
      <c r="AO133">
        <f t="shared" si="27"/>
        <v>0</v>
      </c>
      <c r="AP133">
        <f t="shared" si="28"/>
        <v>0</v>
      </c>
      <c r="AQ133">
        <f t="shared" si="29"/>
        <v>11.9</v>
      </c>
    </row>
    <row r="134" spans="1:43" x14ac:dyDescent="0.2">
      <c r="A134">
        <v>251833</v>
      </c>
      <c r="B134" t="s">
        <v>193</v>
      </c>
      <c r="C134" t="s">
        <v>233</v>
      </c>
      <c r="D134" t="s">
        <v>249</v>
      </c>
      <c r="E134" t="s">
        <v>250</v>
      </c>
      <c r="G134">
        <v>8</v>
      </c>
      <c r="I134">
        <v>8</v>
      </c>
      <c r="N134">
        <f t="shared" si="20"/>
        <v>0</v>
      </c>
      <c r="O134">
        <f t="shared" si="21"/>
        <v>16</v>
      </c>
      <c r="AB134">
        <f t="shared" si="22"/>
        <v>0</v>
      </c>
      <c r="AC134">
        <f t="shared" si="23"/>
        <v>0</v>
      </c>
      <c r="AH134">
        <f t="shared" si="24"/>
        <v>0</v>
      </c>
      <c r="AI134">
        <f t="shared" si="25"/>
        <v>0</v>
      </c>
      <c r="AK134">
        <v>4</v>
      </c>
      <c r="AN134">
        <f t="shared" si="26"/>
        <v>0</v>
      </c>
      <c r="AO134">
        <f t="shared" si="27"/>
        <v>4</v>
      </c>
      <c r="AP134">
        <f t="shared" si="28"/>
        <v>0</v>
      </c>
      <c r="AQ134">
        <f t="shared" si="29"/>
        <v>20</v>
      </c>
    </row>
    <row r="135" spans="1:43" x14ac:dyDescent="0.2">
      <c r="A135">
        <v>201119</v>
      </c>
      <c r="B135" t="s">
        <v>193</v>
      </c>
      <c r="C135" t="s">
        <v>175</v>
      </c>
      <c r="D135" t="s">
        <v>190</v>
      </c>
      <c r="E135" t="s">
        <v>251</v>
      </c>
      <c r="I135">
        <v>1.5</v>
      </c>
      <c r="K135">
        <v>8</v>
      </c>
      <c r="N135">
        <f t="shared" si="20"/>
        <v>0</v>
      </c>
      <c r="O135">
        <f t="shared" si="21"/>
        <v>9.5</v>
      </c>
      <c r="AB135">
        <f t="shared" si="22"/>
        <v>0</v>
      </c>
      <c r="AC135">
        <f t="shared" si="23"/>
        <v>0</v>
      </c>
      <c r="AE135">
        <v>1</v>
      </c>
      <c r="AH135">
        <f t="shared" si="24"/>
        <v>0</v>
      </c>
      <c r="AI135">
        <f t="shared" si="25"/>
        <v>1</v>
      </c>
      <c r="AN135">
        <f t="shared" si="26"/>
        <v>0</v>
      </c>
      <c r="AO135">
        <f t="shared" si="27"/>
        <v>0</v>
      </c>
      <c r="AP135">
        <f t="shared" si="28"/>
        <v>0</v>
      </c>
      <c r="AQ135">
        <f t="shared" si="29"/>
        <v>10.5</v>
      </c>
    </row>
    <row r="136" spans="1:43" x14ac:dyDescent="0.2">
      <c r="A136">
        <v>201130</v>
      </c>
      <c r="B136" t="s">
        <v>193</v>
      </c>
      <c r="C136" t="s">
        <v>175</v>
      </c>
      <c r="D136" t="s">
        <v>252</v>
      </c>
      <c r="E136" t="s">
        <v>253</v>
      </c>
      <c r="N136">
        <f t="shared" si="20"/>
        <v>0</v>
      </c>
      <c r="O136">
        <f t="shared" si="21"/>
        <v>0</v>
      </c>
      <c r="AB136">
        <f t="shared" si="22"/>
        <v>0</v>
      </c>
      <c r="AC136">
        <f t="shared" si="23"/>
        <v>0</v>
      </c>
      <c r="AH136">
        <f t="shared" si="24"/>
        <v>0</v>
      </c>
      <c r="AI136">
        <f t="shared" si="25"/>
        <v>0</v>
      </c>
      <c r="AN136">
        <f t="shared" si="26"/>
        <v>0</v>
      </c>
      <c r="AO136">
        <f t="shared" si="27"/>
        <v>0</v>
      </c>
      <c r="AP136">
        <f t="shared" si="28"/>
        <v>0</v>
      </c>
      <c r="AQ136">
        <f t="shared" si="29"/>
        <v>0</v>
      </c>
    </row>
    <row r="137" spans="1:43" x14ac:dyDescent="0.2">
      <c r="A137">
        <v>330923</v>
      </c>
      <c r="B137" t="s">
        <v>193</v>
      </c>
      <c r="C137" t="s">
        <v>175</v>
      </c>
      <c r="D137" t="s">
        <v>252</v>
      </c>
      <c r="E137" t="s">
        <v>254</v>
      </c>
      <c r="G137">
        <v>3</v>
      </c>
      <c r="N137">
        <f t="shared" si="20"/>
        <v>0</v>
      </c>
      <c r="O137">
        <f t="shared" si="21"/>
        <v>3</v>
      </c>
      <c r="AB137">
        <f t="shared" si="22"/>
        <v>0</v>
      </c>
      <c r="AC137">
        <f t="shared" si="23"/>
        <v>0</v>
      </c>
      <c r="AH137">
        <f t="shared" si="24"/>
        <v>0</v>
      </c>
      <c r="AI137">
        <f t="shared" si="25"/>
        <v>0</v>
      </c>
      <c r="AN137">
        <f t="shared" si="26"/>
        <v>0</v>
      </c>
      <c r="AO137">
        <f t="shared" si="27"/>
        <v>0</v>
      </c>
      <c r="AP137">
        <f t="shared" si="28"/>
        <v>0</v>
      </c>
      <c r="AQ137">
        <f t="shared" si="29"/>
        <v>3</v>
      </c>
    </row>
    <row r="138" spans="1:43" x14ac:dyDescent="0.2">
      <c r="A138">
        <v>252556</v>
      </c>
      <c r="B138" t="s">
        <v>193</v>
      </c>
      <c r="C138" t="s">
        <v>175</v>
      </c>
      <c r="D138" t="s">
        <v>249</v>
      </c>
      <c r="E138" t="s">
        <v>255</v>
      </c>
      <c r="G138">
        <v>11</v>
      </c>
      <c r="I138">
        <v>36</v>
      </c>
      <c r="N138">
        <f t="shared" si="20"/>
        <v>0</v>
      </c>
      <c r="O138">
        <f t="shared" si="21"/>
        <v>47</v>
      </c>
      <c r="AB138">
        <f t="shared" si="22"/>
        <v>0</v>
      </c>
      <c r="AC138">
        <f t="shared" si="23"/>
        <v>0</v>
      </c>
      <c r="AE138">
        <v>4</v>
      </c>
      <c r="AH138">
        <f t="shared" si="24"/>
        <v>0</v>
      </c>
      <c r="AI138">
        <f t="shared" si="25"/>
        <v>4</v>
      </c>
      <c r="AN138">
        <f t="shared" si="26"/>
        <v>0</v>
      </c>
      <c r="AO138">
        <f t="shared" si="27"/>
        <v>0</v>
      </c>
      <c r="AP138">
        <f t="shared" si="28"/>
        <v>0</v>
      </c>
      <c r="AQ138">
        <f t="shared" si="29"/>
        <v>51</v>
      </c>
    </row>
    <row r="139" spans="1:43" x14ac:dyDescent="0.2">
      <c r="A139">
        <v>8534640</v>
      </c>
      <c r="B139" t="s">
        <v>193</v>
      </c>
      <c r="C139" t="s">
        <v>256</v>
      </c>
      <c r="D139" t="s">
        <v>257</v>
      </c>
      <c r="E139" t="s">
        <v>258</v>
      </c>
      <c r="N139">
        <f t="shared" si="20"/>
        <v>0</v>
      </c>
      <c r="O139">
        <f t="shared" si="21"/>
        <v>0</v>
      </c>
      <c r="AB139">
        <f t="shared" si="22"/>
        <v>0</v>
      </c>
      <c r="AC139">
        <f t="shared" si="23"/>
        <v>0</v>
      </c>
      <c r="AH139">
        <f t="shared" si="24"/>
        <v>0</v>
      </c>
      <c r="AI139">
        <f t="shared" si="25"/>
        <v>0</v>
      </c>
      <c r="AN139">
        <f t="shared" si="26"/>
        <v>0</v>
      </c>
      <c r="AO139">
        <f t="shared" si="27"/>
        <v>0</v>
      </c>
      <c r="AP139">
        <f t="shared" si="28"/>
        <v>0</v>
      </c>
      <c r="AQ139">
        <f t="shared" si="29"/>
        <v>0</v>
      </c>
    </row>
    <row r="140" spans="1:43" x14ac:dyDescent="0.2">
      <c r="A140">
        <v>6360787</v>
      </c>
      <c r="B140" t="s">
        <v>193</v>
      </c>
      <c r="C140" t="s">
        <v>256</v>
      </c>
      <c r="D140" t="s">
        <v>259</v>
      </c>
      <c r="E140" t="s">
        <v>260</v>
      </c>
      <c r="N140">
        <f t="shared" si="20"/>
        <v>0</v>
      </c>
      <c r="O140">
        <f t="shared" si="21"/>
        <v>0</v>
      </c>
      <c r="AB140">
        <f t="shared" si="22"/>
        <v>0</v>
      </c>
      <c r="AC140">
        <f t="shared" si="23"/>
        <v>0</v>
      </c>
      <c r="AH140">
        <f t="shared" si="24"/>
        <v>0</v>
      </c>
      <c r="AI140">
        <f t="shared" si="25"/>
        <v>0</v>
      </c>
      <c r="AN140">
        <f t="shared" si="26"/>
        <v>0</v>
      </c>
      <c r="AO140">
        <f t="shared" si="27"/>
        <v>0</v>
      </c>
      <c r="AP140">
        <f t="shared" si="28"/>
        <v>0</v>
      </c>
      <c r="AQ140">
        <f t="shared" si="29"/>
        <v>0</v>
      </c>
    </row>
    <row r="141" spans="1:43" x14ac:dyDescent="0.2">
      <c r="A141">
        <v>6360776</v>
      </c>
      <c r="B141" t="s">
        <v>193</v>
      </c>
      <c r="C141" t="s">
        <v>261</v>
      </c>
      <c r="D141" t="s">
        <v>262</v>
      </c>
      <c r="E141" t="s">
        <v>263</v>
      </c>
      <c r="G141">
        <v>2</v>
      </c>
      <c r="H141">
        <v>1</v>
      </c>
      <c r="I141">
        <v>8</v>
      </c>
      <c r="N141">
        <f t="shared" si="20"/>
        <v>1</v>
      </c>
      <c r="O141">
        <f t="shared" si="21"/>
        <v>10</v>
      </c>
      <c r="AB141">
        <f t="shared" si="22"/>
        <v>0</v>
      </c>
      <c r="AC141">
        <f t="shared" si="23"/>
        <v>0</v>
      </c>
      <c r="AH141">
        <f t="shared" si="24"/>
        <v>0</v>
      </c>
      <c r="AI141">
        <f t="shared" si="25"/>
        <v>0</v>
      </c>
      <c r="AN141">
        <f t="shared" si="26"/>
        <v>0</v>
      </c>
      <c r="AO141">
        <f t="shared" si="27"/>
        <v>0</v>
      </c>
      <c r="AP141">
        <f t="shared" si="28"/>
        <v>1</v>
      </c>
      <c r="AQ141">
        <f t="shared" si="29"/>
        <v>10</v>
      </c>
    </row>
    <row r="142" spans="1:43" x14ac:dyDescent="0.2">
      <c r="A142">
        <v>8174119</v>
      </c>
      <c r="B142" t="s">
        <v>193</v>
      </c>
      <c r="C142" t="s">
        <v>261</v>
      </c>
      <c r="D142" t="s">
        <v>25</v>
      </c>
      <c r="E142" t="s">
        <v>264</v>
      </c>
      <c r="G142">
        <v>2</v>
      </c>
      <c r="N142">
        <f t="shared" si="20"/>
        <v>0</v>
      </c>
      <c r="O142">
        <f t="shared" si="21"/>
        <v>2</v>
      </c>
      <c r="AB142">
        <f t="shared" si="22"/>
        <v>0</v>
      </c>
      <c r="AC142">
        <f t="shared" si="23"/>
        <v>0</v>
      </c>
      <c r="AE142">
        <v>6</v>
      </c>
      <c r="AH142">
        <f t="shared" si="24"/>
        <v>0</v>
      </c>
      <c r="AI142">
        <f t="shared" si="25"/>
        <v>6</v>
      </c>
      <c r="AN142">
        <f t="shared" si="26"/>
        <v>0</v>
      </c>
      <c r="AO142">
        <f t="shared" si="27"/>
        <v>0</v>
      </c>
      <c r="AP142">
        <f t="shared" si="28"/>
        <v>0</v>
      </c>
      <c r="AQ142">
        <f t="shared" si="29"/>
        <v>8</v>
      </c>
    </row>
    <row r="143" spans="1:43" x14ac:dyDescent="0.2">
      <c r="A143">
        <v>362218</v>
      </c>
      <c r="B143" t="s">
        <v>193</v>
      </c>
      <c r="C143" t="s">
        <v>261</v>
      </c>
      <c r="D143" t="s">
        <v>262</v>
      </c>
      <c r="E143" t="s">
        <v>265</v>
      </c>
      <c r="G143">
        <v>6</v>
      </c>
      <c r="H143">
        <v>2</v>
      </c>
      <c r="N143">
        <f t="shared" si="20"/>
        <v>2</v>
      </c>
      <c r="O143">
        <f t="shared" si="21"/>
        <v>6</v>
      </c>
      <c r="AB143">
        <f t="shared" si="22"/>
        <v>0</v>
      </c>
      <c r="AC143">
        <f t="shared" si="23"/>
        <v>0</v>
      </c>
      <c r="AH143">
        <f t="shared" si="24"/>
        <v>0</v>
      </c>
      <c r="AI143">
        <f t="shared" si="25"/>
        <v>0</v>
      </c>
      <c r="AN143">
        <f t="shared" si="26"/>
        <v>0</v>
      </c>
      <c r="AO143">
        <f t="shared" si="27"/>
        <v>0</v>
      </c>
      <c r="AP143">
        <f t="shared" si="28"/>
        <v>2</v>
      </c>
      <c r="AQ143">
        <f t="shared" si="29"/>
        <v>6</v>
      </c>
    </row>
    <row r="144" spans="1:43" x14ac:dyDescent="0.2">
      <c r="A144">
        <v>674546</v>
      </c>
      <c r="B144" t="s">
        <v>193</v>
      </c>
      <c r="C144" t="s">
        <v>261</v>
      </c>
      <c r="D144" t="s">
        <v>25</v>
      </c>
      <c r="E144" t="s">
        <v>266</v>
      </c>
      <c r="G144">
        <v>16</v>
      </c>
      <c r="H144">
        <v>4</v>
      </c>
      <c r="I144">
        <v>10</v>
      </c>
      <c r="N144">
        <f t="shared" si="20"/>
        <v>4</v>
      </c>
      <c r="O144">
        <f t="shared" si="21"/>
        <v>26</v>
      </c>
      <c r="AB144">
        <f t="shared" si="22"/>
        <v>0</v>
      </c>
      <c r="AC144">
        <f t="shared" si="23"/>
        <v>0</v>
      </c>
      <c r="AH144">
        <f t="shared" si="24"/>
        <v>0</v>
      </c>
      <c r="AI144">
        <f t="shared" si="25"/>
        <v>0</v>
      </c>
      <c r="AN144">
        <f t="shared" si="26"/>
        <v>0</v>
      </c>
      <c r="AO144">
        <f t="shared" si="27"/>
        <v>0</v>
      </c>
      <c r="AP144">
        <f t="shared" si="28"/>
        <v>4</v>
      </c>
      <c r="AQ144">
        <f t="shared" si="29"/>
        <v>26</v>
      </c>
    </row>
    <row r="145" spans="1:43" x14ac:dyDescent="0.2">
      <c r="A145">
        <v>5116861</v>
      </c>
      <c r="B145" t="s">
        <v>267</v>
      </c>
      <c r="C145" t="s">
        <v>268</v>
      </c>
      <c r="D145" t="s">
        <v>72</v>
      </c>
      <c r="E145" t="s">
        <v>269</v>
      </c>
      <c r="G145">
        <v>1.5</v>
      </c>
      <c r="M145">
        <v>3</v>
      </c>
      <c r="N145">
        <f t="shared" si="20"/>
        <v>0</v>
      </c>
      <c r="O145">
        <f t="shared" si="21"/>
        <v>4.5</v>
      </c>
      <c r="AB145">
        <f t="shared" si="22"/>
        <v>0</v>
      </c>
      <c r="AC145">
        <f t="shared" si="23"/>
        <v>0</v>
      </c>
      <c r="AE145">
        <v>0.7</v>
      </c>
      <c r="AH145">
        <f t="shared" si="24"/>
        <v>0</v>
      </c>
      <c r="AI145">
        <f t="shared" si="25"/>
        <v>0.7</v>
      </c>
      <c r="AM145">
        <v>4.5</v>
      </c>
      <c r="AN145">
        <f t="shared" si="26"/>
        <v>0</v>
      </c>
      <c r="AO145">
        <f t="shared" si="27"/>
        <v>4.5</v>
      </c>
      <c r="AP145">
        <f t="shared" si="28"/>
        <v>0</v>
      </c>
      <c r="AQ145">
        <f t="shared" si="29"/>
        <v>9.6999999999999993</v>
      </c>
    </row>
    <row r="146" spans="1:43" x14ac:dyDescent="0.2">
      <c r="A146">
        <v>388482</v>
      </c>
      <c r="B146" t="s">
        <v>267</v>
      </c>
      <c r="C146" t="s">
        <v>270</v>
      </c>
      <c r="D146" t="s">
        <v>271</v>
      </c>
      <c r="E146" t="s">
        <v>272</v>
      </c>
      <c r="N146">
        <f t="shared" si="20"/>
        <v>0</v>
      </c>
      <c r="O146">
        <f t="shared" si="21"/>
        <v>0</v>
      </c>
      <c r="AB146">
        <f t="shared" si="22"/>
        <v>0</v>
      </c>
      <c r="AC146">
        <f t="shared" si="23"/>
        <v>0</v>
      </c>
      <c r="AH146">
        <f t="shared" si="24"/>
        <v>0</v>
      </c>
      <c r="AI146">
        <f t="shared" si="25"/>
        <v>0</v>
      </c>
      <c r="AN146">
        <f t="shared" si="26"/>
        <v>0</v>
      </c>
      <c r="AO146">
        <f t="shared" si="27"/>
        <v>0</v>
      </c>
      <c r="AP146">
        <f t="shared" si="28"/>
        <v>0</v>
      </c>
      <c r="AQ146">
        <f t="shared" si="29"/>
        <v>0</v>
      </c>
    </row>
    <row r="147" spans="1:43" x14ac:dyDescent="0.2">
      <c r="A147">
        <v>5083275</v>
      </c>
      <c r="B147" t="s">
        <v>267</v>
      </c>
      <c r="C147" t="s">
        <v>177</v>
      </c>
      <c r="D147" t="s">
        <v>72</v>
      </c>
      <c r="E147" t="s">
        <v>273</v>
      </c>
      <c r="G147">
        <v>1.5</v>
      </c>
      <c r="M147">
        <v>1</v>
      </c>
      <c r="N147">
        <f t="shared" si="20"/>
        <v>0</v>
      </c>
      <c r="O147">
        <f t="shared" si="21"/>
        <v>2.5</v>
      </c>
      <c r="AB147">
        <f t="shared" si="22"/>
        <v>0</v>
      </c>
      <c r="AC147">
        <f t="shared" si="23"/>
        <v>0</v>
      </c>
      <c r="AH147">
        <f t="shared" si="24"/>
        <v>0</v>
      </c>
      <c r="AI147">
        <f t="shared" si="25"/>
        <v>0</v>
      </c>
      <c r="AN147">
        <f t="shared" si="26"/>
        <v>0</v>
      </c>
      <c r="AO147">
        <f t="shared" si="27"/>
        <v>0</v>
      </c>
      <c r="AP147">
        <f t="shared" si="28"/>
        <v>0</v>
      </c>
      <c r="AQ147">
        <f t="shared" si="29"/>
        <v>2.5</v>
      </c>
    </row>
    <row r="148" spans="1:43" x14ac:dyDescent="0.2">
      <c r="A148">
        <v>390594</v>
      </c>
      <c r="B148" t="s">
        <v>267</v>
      </c>
      <c r="C148" t="s">
        <v>274</v>
      </c>
      <c r="D148" t="s">
        <v>275</v>
      </c>
      <c r="E148" t="s">
        <v>276</v>
      </c>
      <c r="M148">
        <v>1</v>
      </c>
      <c r="N148">
        <f t="shared" si="20"/>
        <v>0</v>
      </c>
      <c r="O148">
        <f t="shared" si="21"/>
        <v>1</v>
      </c>
      <c r="Q148">
        <v>1.3</v>
      </c>
      <c r="AB148">
        <f t="shared" si="22"/>
        <v>0</v>
      </c>
      <c r="AC148">
        <f t="shared" si="23"/>
        <v>1.3</v>
      </c>
      <c r="AH148">
        <f t="shared" si="24"/>
        <v>0</v>
      </c>
      <c r="AI148">
        <f t="shared" si="25"/>
        <v>0</v>
      </c>
      <c r="AN148">
        <f t="shared" si="26"/>
        <v>0</v>
      </c>
      <c r="AO148">
        <f t="shared" si="27"/>
        <v>0</v>
      </c>
      <c r="AP148">
        <f t="shared" si="28"/>
        <v>0</v>
      </c>
      <c r="AQ148">
        <f t="shared" si="29"/>
        <v>2.2999999999999998</v>
      </c>
    </row>
    <row r="149" spans="1:43" x14ac:dyDescent="0.2">
      <c r="A149">
        <v>6822694</v>
      </c>
      <c r="B149" t="s">
        <v>267</v>
      </c>
      <c r="C149" t="s">
        <v>177</v>
      </c>
      <c r="D149" t="s">
        <v>53</v>
      </c>
      <c r="E149" t="s">
        <v>277</v>
      </c>
      <c r="G149">
        <v>1.9</v>
      </c>
      <c r="M149">
        <v>6</v>
      </c>
      <c r="N149">
        <f t="shared" si="20"/>
        <v>0</v>
      </c>
      <c r="O149">
        <f t="shared" si="21"/>
        <v>7.9</v>
      </c>
      <c r="Q149">
        <v>2.1</v>
      </c>
      <c r="AB149">
        <f t="shared" si="22"/>
        <v>0</v>
      </c>
      <c r="AC149">
        <f t="shared" si="23"/>
        <v>2.1</v>
      </c>
      <c r="AE149">
        <v>1.9</v>
      </c>
      <c r="AH149">
        <f t="shared" si="24"/>
        <v>0</v>
      </c>
      <c r="AI149">
        <f t="shared" si="25"/>
        <v>1.9</v>
      </c>
      <c r="AM149">
        <v>8</v>
      </c>
      <c r="AN149">
        <f t="shared" si="26"/>
        <v>0</v>
      </c>
      <c r="AO149">
        <f t="shared" si="27"/>
        <v>8</v>
      </c>
      <c r="AP149">
        <f t="shared" si="28"/>
        <v>0</v>
      </c>
      <c r="AQ149">
        <f t="shared" si="29"/>
        <v>19.899999999999999</v>
      </c>
    </row>
    <row r="150" spans="1:43" x14ac:dyDescent="0.2">
      <c r="A150">
        <v>252559</v>
      </c>
      <c r="B150" t="s">
        <v>267</v>
      </c>
      <c r="C150" t="s">
        <v>278</v>
      </c>
      <c r="D150" t="s">
        <v>72</v>
      </c>
      <c r="E150" t="s">
        <v>279</v>
      </c>
      <c r="L150" t="s">
        <v>39</v>
      </c>
      <c r="N150">
        <f t="shared" si="20"/>
        <v>0</v>
      </c>
      <c r="O150">
        <f t="shared" si="21"/>
        <v>0</v>
      </c>
      <c r="AB150">
        <f t="shared" si="22"/>
        <v>0</v>
      </c>
      <c r="AC150">
        <f t="shared" si="23"/>
        <v>0</v>
      </c>
      <c r="AH150">
        <f t="shared" si="24"/>
        <v>0</v>
      </c>
      <c r="AI150">
        <f t="shared" si="25"/>
        <v>0</v>
      </c>
      <c r="AN150">
        <f t="shared" si="26"/>
        <v>0</v>
      </c>
      <c r="AO150">
        <f t="shared" si="27"/>
        <v>0</v>
      </c>
      <c r="AP150">
        <f t="shared" si="28"/>
        <v>0</v>
      </c>
      <c r="AQ150">
        <f t="shared" si="29"/>
        <v>0</v>
      </c>
    </row>
    <row r="151" spans="1:43" x14ac:dyDescent="0.2">
      <c r="A151">
        <v>2218682</v>
      </c>
      <c r="B151" t="s">
        <v>267</v>
      </c>
      <c r="C151" t="s">
        <v>177</v>
      </c>
      <c r="D151" t="s">
        <v>72</v>
      </c>
      <c r="E151" t="s">
        <v>280</v>
      </c>
      <c r="G151">
        <v>0.3</v>
      </c>
      <c r="M151">
        <v>3</v>
      </c>
      <c r="N151">
        <f t="shared" si="20"/>
        <v>0</v>
      </c>
      <c r="O151">
        <f t="shared" si="21"/>
        <v>3.3</v>
      </c>
      <c r="Q151">
        <v>6.9</v>
      </c>
      <c r="AB151">
        <f t="shared" si="22"/>
        <v>0</v>
      </c>
      <c r="AC151">
        <f t="shared" si="23"/>
        <v>6.9</v>
      </c>
      <c r="AH151">
        <f t="shared" si="24"/>
        <v>0</v>
      </c>
      <c r="AI151">
        <f t="shared" si="25"/>
        <v>0</v>
      </c>
      <c r="AN151">
        <f t="shared" si="26"/>
        <v>0</v>
      </c>
      <c r="AO151">
        <f t="shared" si="27"/>
        <v>0</v>
      </c>
      <c r="AP151">
        <f t="shared" si="28"/>
        <v>0</v>
      </c>
      <c r="AQ151">
        <f t="shared" si="29"/>
        <v>10.199999999999999</v>
      </c>
    </row>
    <row r="152" spans="1:43" x14ac:dyDescent="0.2">
      <c r="B152" t="s">
        <v>267</v>
      </c>
      <c r="C152" t="s">
        <v>268</v>
      </c>
      <c r="D152" t="s">
        <v>72</v>
      </c>
      <c r="E152" t="s">
        <v>281</v>
      </c>
      <c r="G152">
        <v>0.5</v>
      </c>
      <c r="N152">
        <f t="shared" si="20"/>
        <v>0</v>
      </c>
      <c r="O152">
        <f t="shared" si="21"/>
        <v>0.5</v>
      </c>
      <c r="Q152">
        <v>1</v>
      </c>
      <c r="AB152">
        <f t="shared" si="22"/>
        <v>0</v>
      </c>
      <c r="AC152">
        <f t="shared" si="23"/>
        <v>1</v>
      </c>
      <c r="AH152">
        <f t="shared" si="24"/>
        <v>0</v>
      </c>
      <c r="AI152">
        <f t="shared" si="25"/>
        <v>0</v>
      </c>
      <c r="AM152">
        <v>1.9</v>
      </c>
      <c r="AN152">
        <f t="shared" si="26"/>
        <v>0</v>
      </c>
      <c r="AO152">
        <f t="shared" si="27"/>
        <v>1.9</v>
      </c>
      <c r="AP152">
        <f t="shared" si="28"/>
        <v>0</v>
      </c>
      <c r="AQ152">
        <f t="shared" si="29"/>
        <v>3.4</v>
      </c>
    </row>
    <row r="153" spans="1:43" x14ac:dyDescent="0.2">
      <c r="A153">
        <v>5693720</v>
      </c>
      <c r="B153" t="s">
        <v>267</v>
      </c>
      <c r="C153" t="s">
        <v>278</v>
      </c>
      <c r="D153" t="s">
        <v>53</v>
      </c>
      <c r="E153" t="s">
        <v>282</v>
      </c>
      <c r="G153">
        <v>0.3</v>
      </c>
      <c r="M153">
        <v>1</v>
      </c>
      <c r="N153">
        <f t="shared" si="20"/>
        <v>0</v>
      </c>
      <c r="O153">
        <f t="shared" si="21"/>
        <v>1.3</v>
      </c>
      <c r="AB153">
        <f t="shared" si="22"/>
        <v>0</v>
      </c>
      <c r="AC153">
        <f t="shared" si="23"/>
        <v>0</v>
      </c>
      <c r="AH153">
        <f t="shared" si="24"/>
        <v>0</v>
      </c>
      <c r="AI153">
        <f t="shared" si="25"/>
        <v>0</v>
      </c>
      <c r="AN153">
        <f t="shared" si="26"/>
        <v>0</v>
      </c>
      <c r="AO153">
        <f t="shared" si="27"/>
        <v>0</v>
      </c>
      <c r="AP153">
        <f t="shared" si="28"/>
        <v>0</v>
      </c>
      <c r="AQ153">
        <f t="shared" si="29"/>
        <v>1.3</v>
      </c>
    </row>
    <row r="154" spans="1:43" x14ac:dyDescent="0.2">
      <c r="A154">
        <v>390572</v>
      </c>
      <c r="B154" t="s">
        <v>267</v>
      </c>
      <c r="C154" t="s">
        <v>283</v>
      </c>
      <c r="D154" t="s">
        <v>72</v>
      </c>
      <c r="E154" t="s">
        <v>284</v>
      </c>
      <c r="G154">
        <v>0.9</v>
      </c>
      <c r="M154">
        <v>1</v>
      </c>
      <c r="N154">
        <f t="shared" si="20"/>
        <v>0</v>
      </c>
      <c r="O154">
        <f t="shared" si="21"/>
        <v>1.9</v>
      </c>
      <c r="AB154">
        <f t="shared" si="22"/>
        <v>0</v>
      </c>
      <c r="AC154">
        <f t="shared" si="23"/>
        <v>0</v>
      </c>
      <c r="AH154">
        <f t="shared" si="24"/>
        <v>0</v>
      </c>
      <c r="AI154">
        <f t="shared" si="25"/>
        <v>0</v>
      </c>
      <c r="AN154">
        <f t="shared" si="26"/>
        <v>0</v>
      </c>
      <c r="AO154">
        <f t="shared" si="27"/>
        <v>0</v>
      </c>
      <c r="AP154">
        <f t="shared" si="28"/>
        <v>0</v>
      </c>
      <c r="AQ154">
        <f t="shared" si="29"/>
        <v>1.9</v>
      </c>
    </row>
    <row r="155" spans="1:43" x14ac:dyDescent="0.2">
      <c r="A155">
        <v>2579567</v>
      </c>
      <c r="B155" t="s">
        <v>267</v>
      </c>
      <c r="C155" t="s">
        <v>283</v>
      </c>
      <c r="D155" t="s">
        <v>72</v>
      </c>
      <c r="E155" t="s">
        <v>285</v>
      </c>
      <c r="G155">
        <v>0.8</v>
      </c>
      <c r="M155">
        <v>6</v>
      </c>
      <c r="N155">
        <f t="shared" si="20"/>
        <v>0</v>
      </c>
      <c r="O155">
        <f t="shared" si="21"/>
        <v>6.8</v>
      </c>
      <c r="Q155">
        <v>5.4</v>
      </c>
      <c r="AB155">
        <f t="shared" si="22"/>
        <v>0</v>
      </c>
      <c r="AC155">
        <f t="shared" si="23"/>
        <v>5.4</v>
      </c>
      <c r="AE155">
        <v>0.8</v>
      </c>
      <c r="AH155">
        <f t="shared" si="24"/>
        <v>0</v>
      </c>
      <c r="AI155">
        <f t="shared" si="25"/>
        <v>0.8</v>
      </c>
      <c r="AM155">
        <v>4.2</v>
      </c>
      <c r="AN155">
        <f t="shared" si="26"/>
        <v>0</v>
      </c>
      <c r="AO155">
        <f t="shared" si="27"/>
        <v>4.2</v>
      </c>
      <c r="AP155">
        <f t="shared" si="28"/>
        <v>0</v>
      </c>
      <c r="AQ155">
        <f t="shared" si="29"/>
        <v>17.2</v>
      </c>
    </row>
    <row r="156" spans="1:43" x14ac:dyDescent="0.2">
      <c r="A156">
        <v>2294250</v>
      </c>
      <c r="B156" t="s">
        <v>267</v>
      </c>
      <c r="C156" t="s">
        <v>177</v>
      </c>
      <c r="D156" t="s">
        <v>72</v>
      </c>
      <c r="E156" t="s">
        <v>286</v>
      </c>
      <c r="G156">
        <v>2.4</v>
      </c>
      <c r="N156">
        <f t="shared" si="20"/>
        <v>0</v>
      </c>
      <c r="O156">
        <f t="shared" si="21"/>
        <v>2.4</v>
      </c>
      <c r="AB156">
        <f t="shared" si="22"/>
        <v>0</v>
      </c>
      <c r="AC156">
        <f t="shared" si="23"/>
        <v>0</v>
      </c>
      <c r="AH156">
        <f t="shared" si="24"/>
        <v>0</v>
      </c>
      <c r="AI156">
        <f t="shared" si="25"/>
        <v>0</v>
      </c>
      <c r="AN156">
        <f t="shared" si="26"/>
        <v>0</v>
      </c>
      <c r="AO156">
        <f t="shared" si="27"/>
        <v>0</v>
      </c>
      <c r="AP156">
        <f t="shared" si="28"/>
        <v>0</v>
      </c>
      <c r="AQ156">
        <f t="shared" si="29"/>
        <v>2.4</v>
      </c>
    </row>
    <row r="157" spans="1:43" x14ac:dyDescent="0.2">
      <c r="A157">
        <v>313198</v>
      </c>
      <c r="B157" t="s">
        <v>267</v>
      </c>
      <c r="C157" t="s">
        <v>268</v>
      </c>
      <c r="D157" t="s">
        <v>72</v>
      </c>
      <c r="E157" t="s">
        <v>287</v>
      </c>
      <c r="G157">
        <v>0.8</v>
      </c>
      <c r="N157">
        <f t="shared" si="20"/>
        <v>0</v>
      </c>
      <c r="O157">
        <f t="shared" si="21"/>
        <v>0.8</v>
      </c>
      <c r="AB157">
        <f t="shared" si="22"/>
        <v>0</v>
      </c>
      <c r="AC157">
        <f t="shared" si="23"/>
        <v>0</v>
      </c>
      <c r="AH157">
        <f t="shared" si="24"/>
        <v>0</v>
      </c>
      <c r="AI157">
        <f t="shared" si="25"/>
        <v>0</v>
      </c>
      <c r="AN157">
        <f t="shared" si="26"/>
        <v>0</v>
      </c>
      <c r="AO157">
        <f t="shared" si="27"/>
        <v>0</v>
      </c>
      <c r="AP157">
        <f t="shared" si="28"/>
        <v>0</v>
      </c>
      <c r="AQ157">
        <f t="shared" si="29"/>
        <v>0.8</v>
      </c>
    </row>
    <row r="158" spans="1:43" x14ac:dyDescent="0.2">
      <c r="A158">
        <v>317958</v>
      </c>
      <c r="B158" t="s">
        <v>267</v>
      </c>
      <c r="C158" t="s">
        <v>283</v>
      </c>
      <c r="D158" t="s">
        <v>72</v>
      </c>
      <c r="E158" t="s">
        <v>288</v>
      </c>
      <c r="G158">
        <v>0.3</v>
      </c>
      <c r="M158">
        <v>1</v>
      </c>
      <c r="N158">
        <f t="shared" si="20"/>
        <v>0</v>
      </c>
      <c r="O158">
        <f t="shared" si="21"/>
        <v>1.3</v>
      </c>
      <c r="AB158">
        <f t="shared" si="22"/>
        <v>0</v>
      </c>
      <c r="AC158">
        <f t="shared" si="23"/>
        <v>0</v>
      </c>
      <c r="AE158">
        <v>0.9</v>
      </c>
      <c r="AH158">
        <f t="shared" si="24"/>
        <v>0</v>
      </c>
      <c r="AI158">
        <f t="shared" si="25"/>
        <v>0.9</v>
      </c>
      <c r="AN158">
        <f t="shared" si="26"/>
        <v>0</v>
      </c>
      <c r="AO158">
        <f t="shared" si="27"/>
        <v>0</v>
      </c>
      <c r="AP158">
        <f t="shared" si="28"/>
        <v>0</v>
      </c>
      <c r="AQ158">
        <f t="shared" si="29"/>
        <v>2.2000000000000002</v>
      </c>
    </row>
    <row r="159" spans="1:43" x14ac:dyDescent="0.2">
      <c r="A159">
        <v>1869994</v>
      </c>
      <c r="B159" t="s">
        <v>267</v>
      </c>
      <c r="C159" t="s">
        <v>289</v>
      </c>
      <c r="D159" t="s">
        <v>72</v>
      </c>
      <c r="E159" t="s">
        <v>290</v>
      </c>
      <c r="N159">
        <f t="shared" si="20"/>
        <v>0</v>
      </c>
      <c r="O159">
        <f t="shared" si="21"/>
        <v>0</v>
      </c>
      <c r="Q159">
        <v>0.2</v>
      </c>
      <c r="AB159">
        <f t="shared" si="22"/>
        <v>0</v>
      </c>
      <c r="AC159">
        <f t="shared" si="23"/>
        <v>0.2</v>
      </c>
      <c r="AH159">
        <f t="shared" si="24"/>
        <v>0</v>
      </c>
      <c r="AI159">
        <f t="shared" si="25"/>
        <v>0</v>
      </c>
      <c r="AN159">
        <f t="shared" si="26"/>
        <v>0</v>
      </c>
      <c r="AO159">
        <f t="shared" si="27"/>
        <v>0</v>
      </c>
      <c r="AP159">
        <f t="shared" si="28"/>
        <v>0</v>
      </c>
      <c r="AQ159">
        <f t="shared" si="29"/>
        <v>0.2</v>
      </c>
    </row>
    <row r="160" spans="1:43" x14ac:dyDescent="0.2">
      <c r="A160">
        <v>252526</v>
      </c>
      <c r="B160" t="s">
        <v>267</v>
      </c>
      <c r="C160" t="s">
        <v>289</v>
      </c>
      <c r="D160" t="s">
        <v>72</v>
      </c>
      <c r="E160" t="s">
        <v>291</v>
      </c>
      <c r="N160">
        <f t="shared" si="20"/>
        <v>0</v>
      </c>
      <c r="O160">
        <f t="shared" si="21"/>
        <v>0</v>
      </c>
      <c r="AB160">
        <f t="shared" si="22"/>
        <v>0</v>
      </c>
      <c r="AC160">
        <f t="shared" si="23"/>
        <v>0</v>
      </c>
      <c r="AH160">
        <f t="shared" si="24"/>
        <v>0</v>
      </c>
      <c r="AI160">
        <f t="shared" si="25"/>
        <v>0</v>
      </c>
      <c r="AN160">
        <f t="shared" si="26"/>
        <v>0</v>
      </c>
      <c r="AO160">
        <f t="shared" si="27"/>
        <v>0</v>
      </c>
      <c r="AP160">
        <f t="shared" si="28"/>
        <v>0</v>
      </c>
      <c r="AQ160">
        <f t="shared" si="29"/>
        <v>0</v>
      </c>
    </row>
    <row r="161" spans="1:43" x14ac:dyDescent="0.2">
      <c r="A161">
        <v>390569</v>
      </c>
      <c r="B161" t="s">
        <v>267</v>
      </c>
      <c r="C161" t="s">
        <v>292</v>
      </c>
      <c r="D161" t="s">
        <v>293</v>
      </c>
      <c r="E161" t="s">
        <v>294</v>
      </c>
      <c r="G161">
        <v>0.4</v>
      </c>
      <c r="N161">
        <f t="shared" si="20"/>
        <v>0</v>
      </c>
      <c r="O161">
        <f t="shared" si="21"/>
        <v>0.4</v>
      </c>
      <c r="Q161">
        <v>0.2</v>
      </c>
      <c r="AB161">
        <f t="shared" si="22"/>
        <v>0</v>
      </c>
      <c r="AC161">
        <f t="shared" si="23"/>
        <v>0.2</v>
      </c>
      <c r="AH161">
        <f t="shared" si="24"/>
        <v>0</v>
      </c>
      <c r="AI161">
        <f t="shared" si="25"/>
        <v>0</v>
      </c>
      <c r="AN161">
        <f t="shared" si="26"/>
        <v>0</v>
      </c>
      <c r="AO161">
        <f t="shared" si="27"/>
        <v>0</v>
      </c>
      <c r="AP161">
        <f t="shared" si="28"/>
        <v>0</v>
      </c>
      <c r="AQ161">
        <f t="shared" si="29"/>
        <v>0.60000000000000009</v>
      </c>
    </row>
    <row r="162" spans="1:43" x14ac:dyDescent="0.2">
      <c r="A162">
        <v>4212470</v>
      </c>
      <c r="B162" t="s">
        <v>267</v>
      </c>
      <c r="C162" t="s">
        <v>177</v>
      </c>
      <c r="D162" t="s">
        <v>53</v>
      </c>
      <c r="E162" t="s">
        <v>295</v>
      </c>
      <c r="G162">
        <v>2.1</v>
      </c>
      <c r="M162">
        <v>8</v>
      </c>
      <c r="N162">
        <f t="shared" si="20"/>
        <v>0</v>
      </c>
      <c r="O162">
        <f t="shared" si="21"/>
        <v>10.1</v>
      </c>
      <c r="Q162">
        <v>1.9</v>
      </c>
      <c r="AB162">
        <f t="shared" si="22"/>
        <v>0</v>
      </c>
      <c r="AC162">
        <f t="shared" si="23"/>
        <v>1.9</v>
      </c>
      <c r="AE162">
        <v>0.2</v>
      </c>
      <c r="AH162">
        <f t="shared" si="24"/>
        <v>0</v>
      </c>
      <c r="AI162">
        <f t="shared" si="25"/>
        <v>0.2</v>
      </c>
      <c r="AM162">
        <v>8.4</v>
      </c>
      <c r="AN162">
        <f t="shared" si="26"/>
        <v>0</v>
      </c>
      <c r="AO162">
        <f t="shared" si="27"/>
        <v>8.4</v>
      </c>
      <c r="AP162">
        <f t="shared" si="28"/>
        <v>0</v>
      </c>
      <c r="AQ162">
        <f t="shared" si="29"/>
        <v>20.6</v>
      </c>
    </row>
    <row r="163" spans="1:43" x14ac:dyDescent="0.2">
      <c r="A163">
        <v>329105</v>
      </c>
      <c r="B163" t="s">
        <v>267</v>
      </c>
      <c r="C163" t="s">
        <v>296</v>
      </c>
      <c r="D163" t="s">
        <v>53</v>
      </c>
      <c r="E163" t="s">
        <v>297</v>
      </c>
      <c r="N163">
        <f t="shared" si="20"/>
        <v>0</v>
      </c>
      <c r="O163">
        <f t="shared" si="21"/>
        <v>0</v>
      </c>
      <c r="AB163">
        <f t="shared" si="22"/>
        <v>0</v>
      </c>
      <c r="AC163">
        <f t="shared" si="23"/>
        <v>0</v>
      </c>
      <c r="AH163">
        <f t="shared" si="24"/>
        <v>0</v>
      </c>
      <c r="AI163">
        <f t="shared" si="25"/>
        <v>0</v>
      </c>
      <c r="AN163">
        <f t="shared" si="26"/>
        <v>0</v>
      </c>
      <c r="AO163">
        <f t="shared" si="27"/>
        <v>0</v>
      </c>
      <c r="AP163">
        <f t="shared" si="28"/>
        <v>0</v>
      </c>
      <c r="AQ163">
        <f t="shared" si="29"/>
        <v>0</v>
      </c>
    </row>
    <row r="164" spans="1:43" x14ac:dyDescent="0.2">
      <c r="A164">
        <v>2250644</v>
      </c>
      <c r="B164" t="s">
        <v>267</v>
      </c>
      <c r="C164" t="s">
        <v>298</v>
      </c>
      <c r="D164" t="s">
        <v>299</v>
      </c>
      <c r="E164" t="s">
        <v>300</v>
      </c>
      <c r="N164">
        <f t="shared" si="20"/>
        <v>0</v>
      </c>
      <c r="O164">
        <f t="shared" si="21"/>
        <v>0</v>
      </c>
      <c r="AB164">
        <f t="shared" si="22"/>
        <v>0</v>
      </c>
      <c r="AC164">
        <f t="shared" si="23"/>
        <v>0</v>
      </c>
      <c r="AH164">
        <f t="shared" si="24"/>
        <v>0</v>
      </c>
      <c r="AI164">
        <f t="shared" si="25"/>
        <v>0</v>
      </c>
      <c r="AN164">
        <f t="shared" si="26"/>
        <v>0</v>
      </c>
      <c r="AO164">
        <f t="shared" si="27"/>
        <v>0</v>
      </c>
      <c r="AP164">
        <f t="shared" si="28"/>
        <v>0</v>
      </c>
      <c r="AQ164">
        <f t="shared" si="29"/>
        <v>0</v>
      </c>
    </row>
    <row r="165" spans="1:43" x14ac:dyDescent="0.2">
      <c r="B165" t="s">
        <v>267</v>
      </c>
      <c r="C165" t="s">
        <v>301</v>
      </c>
      <c r="D165" t="s">
        <v>299</v>
      </c>
      <c r="E165" t="s">
        <v>302</v>
      </c>
      <c r="G165">
        <v>0.1</v>
      </c>
      <c r="N165">
        <f t="shared" si="20"/>
        <v>0</v>
      </c>
      <c r="O165">
        <f t="shared" si="21"/>
        <v>0.1</v>
      </c>
      <c r="Q165">
        <v>0.5</v>
      </c>
      <c r="AB165">
        <f t="shared" si="22"/>
        <v>0</v>
      </c>
      <c r="AC165">
        <f t="shared" si="23"/>
        <v>0.5</v>
      </c>
      <c r="AH165">
        <f t="shared" si="24"/>
        <v>0</v>
      </c>
      <c r="AI165">
        <f t="shared" si="25"/>
        <v>0</v>
      </c>
      <c r="AN165">
        <f t="shared" si="26"/>
        <v>0</v>
      </c>
      <c r="AO165">
        <f t="shared" si="27"/>
        <v>0</v>
      </c>
      <c r="AP165">
        <f t="shared" si="28"/>
        <v>0</v>
      </c>
      <c r="AQ165">
        <f t="shared" si="29"/>
        <v>0.6</v>
      </c>
    </row>
    <row r="166" spans="1:43" x14ac:dyDescent="0.2">
      <c r="A166">
        <v>399826</v>
      </c>
      <c r="B166" t="s">
        <v>267</v>
      </c>
      <c r="C166" t="s">
        <v>177</v>
      </c>
      <c r="D166" t="s">
        <v>303</v>
      </c>
      <c r="E166" t="s">
        <v>304</v>
      </c>
      <c r="G166">
        <v>0.2</v>
      </c>
      <c r="N166">
        <f t="shared" si="20"/>
        <v>0</v>
      </c>
      <c r="O166">
        <f t="shared" si="21"/>
        <v>0.2</v>
      </c>
      <c r="Q166">
        <v>0.5</v>
      </c>
      <c r="AB166">
        <f t="shared" si="22"/>
        <v>0</v>
      </c>
      <c r="AC166">
        <f t="shared" si="23"/>
        <v>0.5</v>
      </c>
      <c r="AH166">
        <f t="shared" si="24"/>
        <v>0</v>
      </c>
      <c r="AI166">
        <f t="shared" si="25"/>
        <v>0</v>
      </c>
      <c r="AN166">
        <f t="shared" si="26"/>
        <v>0</v>
      </c>
      <c r="AO166">
        <f t="shared" si="27"/>
        <v>0</v>
      </c>
      <c r="AP166">
        <f t="shared" si="28"/>
        <v>0</v>
      </c>
      <c r="AQ166">
        <f t="shared" si="29"/>
        <v>0.7</v>
      </c>
    </row>
    <row r="167" spans="1:43" x14ac:dyDescent="0.2">
      <c r="A167">
        <v>252547</v>
      </c>
      <c r="B167" t="s">
        <v>267</v>
      </c>
      <c r="C167" t="s">
        <v>177</v>
      </c>
      <c r="D167" t="s">
        <v>72</v>
      </c>
      <c r="E167" t="s">
        <v>305</v>
      </c>
      <c r="N167">
        <f t="shared" si="20"/>
        <v>0</v>
      </c>
      <c r="O167">
        <f t="shared" si="21"/>
        <v>0</v>
      </c>
      <c r="AB167">
        <f t="shared" si="22"/>
        <v>0</v>
      </c>
      <c r="AC167">
        <f t="shared" si="23"/>
        <v>0</v>
      </c>
      <c r="AH167">
        <f t="shared" si="24"/>
        <v>0</v>
      </c>
      <c r="AI167">
        <f t="shared" si="25"/>
        <v>0</v>
      </c>
      <c r="AN167">
        <f t="shared" si="26"/>
        <v>0</v>
      </c>
      <c r="AO167">
        <f t="shared" si="27"/>
        <v>0</v>
      </c>
      <c r="AP167">
        <f t="shared" si="28"/>
        <v>0</v>
      </c>
      <c r="AQ167">
        <f t="shared" si="29"/>
        <v>0</v>
      </c>
    </row>
    <row r="168" spans="1:43" x14ac:dyDescent="0.2">
      <c r="A168">
        <v>391866</v>
      </c>
      <c r="B168" t="s">
        <v>267</v>
      </c>
      <c r="C168" t="s">
        <v>298</v>
      </c>
      <c r="D168" t="s">
        <v>72</v>
      </c>
      <c r="E168" t="s">
        <v>306</v>
      </c>
      <c r="N168">
        <f t="shared" si="20"/>
        <v>0</v>
      </c>
      <c r="O168">
        <f t="shared" si="21"/>
        <v>0</v>
      </c>
      <c r="AB168">
        <f t="shared" si="22"/>
        <v>0</v>
      </c>
      <c r="AC168">
        <f t="shared" si="23"/>
        <v>0</v>
      </c>
      <c r="AH168">
        <f t="shared" si="24"/>
        <v>0</v>
      </c>
      <c r="AI168">
        <f t="shared" si="25"/>
        <v>0</v>
      </c>
      <c r="AN168">
        <f t="shared" si="26"/>
        <v>0</v>
      </c>
      <c r="AO168">
        <f t="shared" si="27"/>
        <v>0</v>
      </c>
      <c r="AP168">
        <f t="shared" si="28"/>
        <v>0</v>
      </c>
      <c r="AQ168">
        <f t="shared" si="29"/>
        <v>0</v>
      </c>
    </row>
    <row r="169" spans="1:43" x14ac:dyDescent="0.2">
      <c r="A169">
        <v>299550</v>
      </c>
      <c r="B169" t="s">
        <v>267</v>
      </c>
      <c r="C169" t="s">
        <v>298</v>
      </c>
      <c r="D169" t="s">
        <v>72</v>
      </c>
      <c r="E169" t="s">
        <v>307</v>
      </c>
      <c r="N169">
        <f t="shared" si="20"/>
        <v>0</v>
      </c>
      <c r="O169">
        <f t="shared" si="21"/>
        <v>0</v>
      </c>
      <c r="AB169">
        <f t="shared" si="22"/>
        <v>0</v>
      </c>
      <c r="AC169">
        <f t="shared" si="23"/>
        <v>0</v>
      </c>
      <c r="AH169">
        <f t="shared" si="24"/>
        <v>0</v>
      </c>
      <c r="AI169">
        <f t="shared" si="25"/>
        <v>0</v>
      </c>
      <c r="AN169">
        <f t="shared" si="26"/>
        <v>0</v>
      </c>
      <c r="AO169">
        <f t="shared" si="27"/>
        <v>0</v>
      </c>
      <c r="AP169">
        <f t="shared" si="28"/>
        <v>0</v>
      </c>
      <c r="AQ169">
        <f t="shared" si="29"/>
        <v>0</v>
      </c>
    </row>
    <row r="170" spans="1:43" x14ac:dyDescent="0.2">
      <c r="A170">
        <v>6622907</v>
      </c>
      <c r="B170" t="s">
        <v>267</v>
      </c>
      <c r="C170" t="s">
        <v>298</v>
      </c>
      <c r="D170" t="s">
        <v>72</v>
      </c>
      <c r="E170" t="s">
        <v>308</v>
      </c>
      <c r="N170">
        <f t="shared" si="20"/>
        <v>0</v>
      </c>
      <c r="O170">
        <f t="shared" si="21"/>
        <v>0</v>
      </c>
      <c r="Q170">
        <v>1.1000000000000001</v>
      </c>
      <c r="AB170">
        <f t="shared" si="22"/>
        <v>0</v>
      </c>
      <c r="AC170">
        <f t="shared" si="23"/>
        <v>1.1000000000000001</v>
      </c>
      <c r="AH170">
        <f t="shared" si="24"/>
        <v>0</v>
      </c>
      <c r="AI170">
        <f t="shared" si="25"/>
        <v>0</v>
      </c>
      <c r="AN170">
        <f t="shared" si="26"/>
        <v>0</v>
      </c>
      <c r="AO170">
        <f t="shared" si="27"/>
        <v>0</v>
      </c>
      <c r="AP170">
        <f t="shared" si="28"/>
        <v>0</v>
      </c>
      <c r="AQ170">
        <f t="shared" si="29"/>
        <v>1.1000000000000001</v>
      </c>
    </row>
    <row r="171" spans="1:43" x14ac:dyDescent="0.2">
      <c r="A171">
        <v>1065888</v>
      </c>
      <c r="B171" t="s">
        <v>267</v>
      </c>
      <c r="C171" t="s">
        <v>177</v>
      </c>
      <c r="D171" t="s">
        <v>72</v>
      </c>
      <c r="E171" t="s">
        <v>309</v>
      </c>
      <c r="G171">
        <v>0.5</v>
      </c>
      <c r="M171">
        <v>4</v>
      </c>
      <c r="N171">
        <f t="shared" si="20"/>
        <v>0</v>
      </c>
      <c r="O171">
        <f t="shared" si="21"/>
        <v>4.5</v>
      </c>
      <c r="Q171">
        <v>1.4</v>
      </c>
      <c r="AB171">
        <f t="shared" si="22"/>
        <v>0</v>
      </c>
      <c r="AC171">
        <f t="shared" si="23"/>
        <v>1.4</v>
      </c>
      <c r="AH171">
        <f t="shared" si="24"/>
        <v>0</v>
      </c>
      <c r="AI171">
        <f t="shared" si="25"/>
        <v>0</v>
      </c>
      <c r="AN171">
        <f t="shared" si="26"/>
        <v>0</v>
      </c>
      <c r="AO171">
        <f t="shared" si="27"/>
        <v>0</v>
      </c>
      <c r="AP171">
        <f t="shared" si="28"/>
        <v>0</v>
      </c>
      <c r="AQ171">
        <f t="shared" si="29"/>
        <v>5.9</v>
      </c>
    </row>
    <row r="172" spans="1:43" x14ac:dyDescent="0.2">
      <c r="A172">
        <v>7841223</v>
      </c>
      <c r="B172" t="s">
        <v>267</v>
      </c>
      <c r="C172" t="s">
        <v>283</v>
      </c>
      <c r="D172" t="s">
        <v>72</v>
      </c>
      <c r="E172" t="s">
        <v>310</v>
      </c>
      <c r="G172">
        <v>0.3</v>
      </c>
      <c r="N172">
        <f t="shared" si="20"/>
        <v>0</v>
      </c>
      <c r="O172">
        <f t="shared" si="21"/>
        <v>0.3</v>
      </c>
      <c r="AB172">
        <f t="shared" si="22"/>
        <v>0</v>
      </c>
      <c r="AC172">
        <f t="shared" si="23"/>
        <v>0</v>
      </c>
      <c r="AH172">
        <f t="shared" si="24"/>
        <v>0</v>
      </c>
      <c r="AI172">
        <f t="shared" si="25"/>
        <v>0</v>
      </c>
      <c r="AN172">
        <f t="shared" si="26"/>
        <v>0</v>
      </c>
      <c r="AO172">
        <f t="shared" si="27"/>
        <v>0</v>
      </c>
      <c r="AP172">
        <f t="shared" si="28"/>
        <v>0</v>
      </c>
      <c r="AQ172">
        <f t="shared" si="29"/>
        <v>0.3</v>
      </c>
    </row>
    <row r="173" spans="1:43" x14ac:dyDescent="0.2">
      <c r="A173">
        <v>2494190</v>
      </c>
      <c r="B173" t="s">
        <v>267</v>
      </c>
      <c r="C173" t="s">
        <v>278</v>
      </c>
      <c r="D173" t="s">
        <v>311</v>
      </c>
      <c r="E173" t="s">
        <v>312</v>
      </c>
      <c r="G173">
        <v>0.7</v>
      </c>
      <c r="N173">
        <f t="shared" si="20"/>
        <v>0</v>
      </c>
      <c r="O173">
        <f t="shared" si="21"/>
        <v>0.7</v>
      </c>
      <c r="AB173">
        <f t="shared" si="22"/>
        <v>0</v>
      </c>
      <c r="AC173">
        <f t="shared" si="23"/>
        <v>0</v>
      </c>
      <c r="AH173">
        <f t="shared" si="24"/>
        <v>0</v>
      </c>
      <c r="AI173">
        <f t="shared" si="25"/>
        <v>0</v>
      </c>
      <c r="AN173">
        <f t="shared" si="26"/>
        <v>0</v>
      </c>
      <c r="AO173">
        <f t="shared" si="27"/>
        <v>0</v>
      </c>
      <c r="AP173">
        <f t="shared" si="28"/>
        <v>0</v>
      </c>
      <c r="AQ173">
        <f t="shared" si="29"/>
        <v>0.7</v>
      </c>
    </row>
    <row r="174" spans="1:43" x14ac:dyDescent="0.2">
      <c r="A174">
        <v>4642411</v>
      </c>
      <c r="B174" t="s">
        <v>267</v>
      </c>
      <c r="C174" t="s">
        <v>268</v>
      </c>
      <c r="D174" t="s">
        <v>72</v>
      </c>
      <c r="E174" t="s">
        <v>313</v>
      </c>
      <c r="G174">
        <v>0.8</v>
      </c>
      <c r="M174">
        <v>3</v>
      </c>
      <c r="N174">
        <f t="shared" si="20"/>
        <v>0</v>
      </c>
      <c r="O174">
        <f t="shared" si="21"/>
        <v>3.8</v>
      </c>
      <c r="AB174">
        <f t="shared" si="22"/>
        <v>0</v>
      </c>
      <c r="AC174">
        <f t="shared" si="23"/>
        <v>0</v>
      </c>
      <c r="AE174">
        <v>0.9</v>
      </c>
      <c r="AH174">
        <f t="shared" si="24"/>
        <v>0</v>
      </c>
      <c r="AI174">
        <f t="shared" si="25"/>
        <v>0.9</v>
      </c>
      <c r="AM174">
        <v>4.9000000000000004</v>
      </c>
      <c r="AN174">
        <f t="shared" si="26"/>
        <v>0</v>
      </c>
      <c r="AO174">
        <f t="shared" si="27"/>
        <v>4.9000000000000004</v>
      </c>
      <c r="AP174">
        <f t="shared" si="28"/>
        <v>0</v>
      </c>
      <c r="AQ174">
        <f t="shared" si="29"/>
        <v>9.6000000000000014</v>
      </c>
    </row>
    <row r="175" spans="1:43" x14ac:dyDescent="0.2">
      <c r="A175">
        <v>3585957</v>
      </c>
      <c r="B175" t="s">
        <v>267</v>
      </c>
      <c r="C175" t="s">
        <v>268</v>
      </c>
      <c r="D175" t="s">
        <v>72</v>
      </c>
      <c r="E175" t="s">
        <v>314</v>
      </c>
      <c r="G175">
        <v>0.2</v>
      </c>
      <c r="M175">
        <v>1</v>
      </c>
      <c r="N175">
        <f t="shared" si="20"/>
        <v>0</v>
      </c>
      <c r="O175">
        <f t="shared" si="21"/>
        <v>1.2</v>
      </c>
      <c r="Q175">
        <v>1</v>
      </c>
      <c r="AB175">
        <f t="shared" si="22"/>
        <v>0</v>
      </c>
      <c r="AC175">
        <f t="shared" si="23"/>
        <v>1</v>
      </c>
      <c r="AH175">
        <f t="shared" si="24"/>
        <v>0</v>
      </c>
      <c r="AI175">
        <f t="shared" si="25"/>
        <v>0</v>
      </c>
      <c r="AN175">
        <f t="shared" si="26"/>
        <v>0</v>
      </c>
      <c r="AO175">
        <f t="shared" si="27"/>
        <v>0</v>
      </c>
      <c r="AP175">
        <f t="shared" si="28"/>
        <v>0</v>
      </c>
      <c r="AQ175">
        <f t="shared" si="29"/>
        <v>2.2000000000000002</v>
      </c>
    </row>
    <row r="176" spans="1:43" x14ac:dyDescent="0.2">
      <c r="A176">
        <v>3585957</v>
      </c>
      <c r="B176" t="s">
        <v>267</v>
      </c>
      <c r="C176" t="s">
        <v>268</v>
      </c>
      <c r="D176" t="s">
        <v>72</v>
      </c>
      <c r="E176" t="s">
        <v>315</v>
      </c>
      <c r="G176">
        <v>0.7</v>
      </c>
      <c r="N176">
        <f t="shared" si="20"/>
        <v>0</v>
      </c>
      <c r="O176">
        <f t="shared" si="21"/>
        <v>0.7</v>
      </c>
      <c r="Q176">
        <v>0.1</v>
      </c>
      <c r="AB176">
        <f t="shared" si="22"/>
        <v>0</v>
      </c>
      <c r="AC176">
        <f t="shared" si="23"/>
        <v>0.1</v>
      </c>
      <c r="AH176">
        <f t="shared" si="24"/>
        <v>0</v>
      </c>
      <c r="AI176">
        <f t="shared" si="25"/>
        <v>0</v>
      </c>
      <c r="AN176">
        <f t="shared" si="26"/>
        <v>0</v>
      </c>
      <c r="AO176">
        <f t="shared" si="27"/>
        <v>0</v>
      </c>
      <c r="AP176">
        <f t="shared" si="28"/>
        <v>0</v>
      </c>
      <c r="AQ176">
        <f t="shared" si="29"/>
        <v>0.79999999999999993</v>
      </c>
    </row>
    <row r="177" spans="1:43" x14ac:dyDescent="0.2">
      <c r="A177">
        <v>273584</v>
      </c>
      <c r="B177" t="s">
        <v>267</v>
      </c>
      <c r="C177" t="s">
        <v>177</v>
      </c>
      <c r="D177" t="s">
        <v>53</v>
      </c>
      <c r="E177" t="s">
        <v>316</v>
      </c>
      <c r="G177">
        <v>0.9</v>
      </c>
      <c r="M177">
        <v>2</v>
      </c>
      <c r="N177">
        <f t="shared" si="20"/>
        <v>0</v>
      </c>
      <c r="O177">
        <f t="shared" si="21"/>
        <v>2.9</v>
      </c>
      <c r="Q177">
        <v>2.2999999999999998</v>
      </c>
      <c r="AB177">
        <f t="shared" si="22"/>
        <v>0</v>
      </c>
      <c r="AC177">
        <f t="shared" si="23"/>
        <v>2.2999999999999998</v>
      </c>
      <c r="AH177">
        <f t="shared" si="24"/>
        <v>0</v>
      </c>
      <c r="AI177">
        <f t="shared" si="25"/>
        <v>0</v>
      </c>
      <c r="AN177">
        <f t="shared" si="26"/>
        <v>0</v>
      </c>
      <c r="AO177">
        <f t="shared" si="27"/>
        <v>0</v>
      </c>
      <c r="AP177">
        <f t="shared" si="28"/>
        <v>0</v>
      </c>
      <c r="AQ177">
        <f t="shared" si="29"/>
        <v>5.1999999999999993</v>
      </c>
    </row>
    <row r="178" spans="1:43" x14ac:dyDescent="0.2">
      <c r="A178">
        <v>8135336</v>
      </c>
      <c r="B178" t="s">
        <v>267</v>
      </c>
      <c r="C178" t="s">
        <v>317</v>
      </c>
      <c r="D178" t="s">
        <v>53</v>
      </c>
      <c r="E178" t="s">
        <v>318</v>
      </c>
      <c r="N178">
        <f t="shared" si="20"/>
        <v>0</v>
      </c>
      <c r="O178">
        <f t="shared" si="21"/>
        <v>0</v>
      </c>
      <c r="AB178">
        <f t="shared" si="22"/>
        <v>0</v>
      </c>
      <c r="AC178">
        <f t="shared" si="23"/>
        <v>0</v>
      </c>
      <c r="AH178">
        <f t="shared" si="24"/>
        <v>0</v>
      </c>
      <c r="AI178">
        <f t="shared" si="25"/>
        <v>0</v>
      </c>
      <c r="AN178">
        <f t="shared" si="26"/>
        <v>0</v>
      </c>
      <c r="AO178">
        <f t="shared" si="27"/>
        <v>0</v>
      </c>
      <c r="AP178">
        <f t="shared" si="28"/>
        <v>0</v>
      </c>
      <c r="AQ178">
        <f t="shared" si="29"/>
        <v>0</v>
      </c>
    </row>
    <row r="179" spans="1:43" x14ac:dyDescent="0.2">
      <c r="A179">
        <v>361705</v>
      </c>
      <c r="B179" t="s">
        <v>267</v>
      </c>
      <c r="C179" t="s">
        <v>317</v>
      </c>
      <c r="D179" t="s">
        <v>72</v>
      </c>
      <c r="E179" t="s">
        <v>319</v>
      </c>
      <c r="G179">
        <v>0.5</v>
      </c>
      <c r="N179">
        <f t="shared" si="20"/>
        <v>0</v>
      </c>
      <c r="O179">
        <f t="shared" si="21"/>
        <v>0.5</v>
      </c>
      <c r="AB179">
        <f t="shared" si="22"/>
        <v>0</v>
      </c>
      <c r="AC179">
        <f t="shared" si="23"/>
        <v>0</v>
      </c>
      <c r="AH179">
        <f t="shared" si="24"/>
        <v>0</v>
      </c>
      <c r="AI179">
        <f t="shared" si="25"/>
        <v>0</v>
      </c>
      <c r="AN179">
        <f t="shared" si="26"/>
        <v>0</v>
      </c>
      <c r="AO179">
        <f t="shared" si="27"/>
        <v>0</v>
      </c>
      <c r="AP179">
        <f t="shared" si="28"/>
        <v>0</v>
      </c>
      <c r="AQ179">
        <f t="shared" si="29"/>
        <v>0.5</v>
      </c>
    </row>
    <row r="180" spans="1:43" x14ac:dyDescent="0.2">
      <c r="A180">
        <v>1082300</v>
      </c>
      <c r="B180" t="s">
        <v>267</v>
      </c>
      <c r="C180" t="s">
        <v>298</v>
      </c>
      <c r="D180" t="s">
        <v>72</v>
      </c>
      <c r="E180" t="s">
        <v>320</v>
      </c>
      <c r="G180">
        <v>1</v>
      </c>
      <c r="N180">
        <f t="shared" si="20"/>
        <v>0</v>
      </c>
      <c r="O180">
        <f t="shared" si="21"/>
        <v>1</v>
      </c>
      <c r="AB180">
        <f t="shared" si="22"/>
        <v>0</v>
      </c>
      <c r="AC180">
        <f t="shared" si="23"/>
        <v>0</v>
      </c>
      <c r="AH180">
        <f t="shared" si="24"/>
        <v>0</v>
      </c>
      <c r="AI180">
        <f t="shared" si="25"/>
        <v>0</v>
      </c>
      <c r="AN180">
        <f t="shared" si="26"/>
        <v>0</v>
      </c>
      <c r="AO180">
        <f t="shared" si="27"/>
        <v>0</v>
      </c>
      <c r="AP180">
        <f t="shared" si="28"/>
        <v>0</v>
      </c>
      <c r="AQ180">
        <f t="shared" si="29"/>
        <v>1</v>
      </c>
    </row>
    <row r="181" spans="1:43" x14ac:dyDescent="0.2">
      <c r="A181">
        <v>8114174</v>
      </c>
      <c r="B181" t="s">
        <v>267</v>
      </c>
      <c r="C181" t="s">
        <v>298</v>
      </c>
      <c r="D181" t="s">
        <v>72</v>
      </c>
      <c r="E181" t="s">
        <v>321</v>
      </c>
      <c r="G181">
        <v>0.9</v>
      </c>
      <c r="N181">
        <f t="shared" si="20"/>
        <v>0</v>
      </c>
      <c r="O181">
        <f t="shared" si="21"/>
        <v>0.9</v>
      </c>
      <c r="AB181">
        <f t="shared" si="22"/>
        <v>0</v>
      </c>
      <c r="AC181">
        <f t="shared" si="23"/>
        <v>0</v>
      </c>
      <c r="AH181">
        <f t="shared" si="24"/>
        <v>0</v>
      </c>
      <c r="AI181">
        <f t="shared" si="25"/>
        <v>0</v>
      </c>
      <c r="AN181">
        <f t="shared" si="26"/>
        <v>0</v>
      </c>
      <c r="AO181">
        <f t="shared" si="27"/>
        <v>0</v>
      </c>
      <c r="AP181">
        <f t="shared" si="28"/>
        <v>0</v>
      </c>
      <c r="AQ181">
        <f t="shared" si="29"/>
        <v>0.9</v>
      </c>
    </row>
    <row r="182" spans="1:43" x14ac:dyDescent="0.2">
      <c r="A182">
        <v>8114175</v>
      </c>
      <c r="B182" t="s">
        <v>267</v>
      </c>
      <c r="C182" t="s">
        <v>298</v>
      </c>
      <c r="D182" t="s">
        <v>72</v>
      </c>
      <c r="E182" t="s">
        <v>322</v>
      </c>
      <c r="G182">
        <v>1</v>
      </c>
      <c r="N182">
        <f t="shared" si="20"/>
        <v>0</v>
      </c>
      <c r="O182">
        <f t="shared" si="21"/>
        <v>1</v>
      </c>
      <c r="AB182">
        <f t="shared" si="22"/>
        <v>0</v>
      </c>
      <c r="AC182">
        <f t="shared" si="23"/>
        <v>0</v>
      </c>
      <c r="AH182">
        <f t="shared" si="24"/>
        <v>0</v>
      </c>
      <c r="AI182">
        <f t="shared" si="25"/>
        <v>0</v>
      </c>
      <c r="AN182">
        <f t="shared" si="26"/>
        <v>0</v>
      </c>
      <c r="AO182">
        <f t="shared" si="27"/>
        <v>0</v>
      </c>
      <c r="AP182">
        <f t="shared" si="28"/>
        <v>0</v>
      </c>
      <c r="AQ182">
        <f t="shared" si="29"/>
        <v>1</v>
      </c>
    </row>
    <row r="183" spans="1:43" x14ac:dyDescent="0.2">
      <c r="A183">
        <v>7532906</v>
      </c>
      <c r="B183" t="s">
        <v>267</v>
      </c>
      <c r="C183" t="s">
        <v>296</v>
      </c>
      <c r="D183" t="s">
        <v>72</v>
      </c>
      <c r="E183" t="s">
        <v>323</v>
      </c>
      <c r="G183">
        <v>0.4</v>
      </c>
      <c r="N183">
        <f t="shared" si="20"/>
        <v>0</v>
      </c>
      <c r="O183">
        <f t="shared" si="21"/>
        <v>0.4</v>
      </c>
      <c r="AB183">
        <f t="shared" si="22"/>
        <v>0</v>
      </c>
      <c r="AC183">
        <f t="shared" si="23"/>
        <v>0</v>
      </c>
      <c r="AH183">
        <f t="shared" si="24"/>
        <v>0</v>
      </c>
      <c r="AI183">
        <f t="shared" si="25"/>
        <v>0</v>
      </c>
      <c r="AN183">
        <f t="shared" si="26"/>
        <v>0</v>
      </c>
      <c r="AO183">
        <f t="shared" si="27"/>
        <v>0</v>
      </c>
      <c r="AP183">
        <f t="shared" si="28"/>
        <v>0</v>
      </c>
      <c r="AQ183">
        <f t="shared" si="29"/>
        <v>0.4</v>
      </c>
    </row>
    <row r="184" spans="1:43" x14ac:dyDescent="0.2">
      <c r="A184">
        <v>5414149</v>
      </c>
      <c r="B184" t="s">
        <v>267</v>
      </c>
      <c r="C184" t="s">
        <v>177</v>
      </c>
      <c r="D184" t="s">
        <v>271</v>
      </c>
      <c r="E184" t="s">
        <v>324</v>
      </c>
      <c r="G184">
        <v>0.9</v>
      </c>
      <c r="M184">
        <v>5</v>
      </c>
      <c r="N184">
        <f t="shared" si="20"/>
        <v>0</v>
      </c>
      <c r="O184">
        <f t="shared" si="21"/>
        <v>5.9</v>
      </c>
      <c r="AB184">
        <f t="shared" si="22"/>
        <v>0</v>
      </c>
      <c r="AC184">
        <f t="shared" si="23"/>
        <v>0</v>
      </c>
      <c r="AH184">
        <f t="shared" si="24"/>
        <v>0</v>
      </c>
      <c r="AI184">
        <f t="shared" si="25"/>
        <v>0</v>
      </c>
      <c r="AN184">
        <f t="shared" si="26"/>
        <v>0</v>
      </c>
      <c r="AO184">
        <f t="shared" si="27"/>
        <v>0</v>
      </c>
      <c r="AP184">
        <f t="shared" si="28"/>
        <v>0</v>
      </c>
      <c r="AQ184">
        <f t="shared" si="29"/>
        <v>5.9</v>
      </c>
    </row>
    <row r="185" spans="1:43" x14ac:dyDescent="0.2">
      <c r="A185">
        <v>9062549</v>
      </c>
      <c r="B185" t="s">
        <v>267</v>
      </c>
      <c r="C185" t="s">
        <v>177</v>
      </c>
      <c r="D185" t="s">
        <v>271</v>
      </c>
      <c r="E185" t="s">
        <v>325</v>
      </c>
      <c r="G185">
        <v>0.2</v>
      </c>
      <c r="M185">
        <v>4</v>
      </c>
      <c r="N185">
        <f t="shared" si="20"/>
        <v>0</v>
      </c>
      <c r="O185">
        <f t="shared" si="21"/>
        <v>4.2</v>
      </c>
      <c r="AB185">
        <f t="shared" si="22"/>
        <v>0</v>
      </c>
      <c r="AC185">
        <f t="shared" si="23"/>
        <v>0</v>
      </c>
      <c r="AH185">
        <f t="shared" si="24"/>
        <v>0</v>
      </c>
      <c r="AI185">
        <f t="shared" si="25"/>
        <v>0</v>
      </c>
      <c r="AN185">
        <f t="shared" si="26"/>
        <v>0</v>
      </c>
      <c r="AO185">
        <f t="shared" si="27"/>
        <v>0</v>
      </c>
      <c r="AP185">
        <f t="shared" si="28"/>
        <v>0</v>
      </c>
      <c r="AQ185">
        <f t="shared" si="29"/>
        <v>4.2</v>
      </c>
    </row>
    <row r="186" spans="1:43" x14ac:dyDescent="0.2">
      <c r="A186">
        <v>8582362</v>
      </c>
      <c r="B186" t="s">
        <v>267</v>
      </c>
      <c r="C186" t="s">
        <v>177</v>
      </c>
      <c r="D186" t="s">
        <v>53</v>
      </c>
      <c r="E186" t="s">
        <v>326</v>
      </c>
      <c r="G186">
        <v>0.3</v>
      </c>
      <c r="M186">
        <v>1</v>
      </c>
      <c r="N186">
        <f t="shared" si="20"/>
        <v>0</v>
      </c>
      <c r="O186">
        <f t="shared" si="21"/>
        <v>1.3</v>
      </c>
      <c r="AB186">
        <f t="shared" si="22"/>
        <v>0</v>
      </c>
      <c r="AC186">
        <f t="shared" si="23"/>
        <v>0</v>
      </c>
      <c r="AH186">
        <f t="shared" si="24"/>
        <v>0</v>
      </c>
      <c r="AI186">
        <f t="shared" si="25"/>
        <v>0</v>
      </c>
      <c r="AN186">
        <f t="shared" si="26"/>
        <v>0</v>
      </c>
      <c r="AO186">
        <f t="shared" si="27"/>
        <v>0</v>
      </c>
      <c r="AP186">
        <f t="shared" si="28"/>
        <v>0</v>
      </c>
      <c r="AQ186">
        <f t="shared" si="29"/>
        <v>1.3</v>
      </c>
    </row>
    <row r="187" spans="1:43" x14ac:dyDescent="0.2">
      <c r="A187">
        <v>9337536</v>
      </c>
      <c r="B187" t="s">
        <v>267</v>
      </c>
      <c r="C187" t="s">
        <v>278</v>
      </c>
      <c r="D187" t="s">
        <v>72</v>
      </c>
      <c r="E187" t="s">
        <v>327</v>
      </c>
      <c r="G187">
        <v>0.8</v>
      </c>
      <c r="M187">
        <v>1</v>
      </c>
      <c r="N187">
        <f t="shared" si="20"/>
        <v>0</v>
      </c>
      <c r="O187">
        <f t="shared" si="21"/>
        <v>1.8</v>
      </c>
      <c r="AB187">
        <f t="shared" si="22"/>
        <v>0</v>
      </c>
      <c r="AC187">
        <f t="shared" si="23"/>
        <v>0</v>
      </c>
      <c r="AH187">
        <f t="shared" si="24"/>
        <v>0</v>
      </c>
      <c r="AI187">
        <f t="shared" si="25"/>
        <v>0</v>
      </c>
      <c r="AN187">
        <f t="shared" si="26"/>
        <v>0</v>
      </c>
      <c r="AO187">
        <f t="shared" si="27"/>
        <v>0</v>
      </c>
      <c r="AP187">
        <f t="shared" si="28"/>
        <v>0</v>
      </c>
      <c r="AQ187">
        <f t="shared" si="29"/>
        <v>1.8</v>
      </c>
    </row>
    <row r="188" spans="1:43" x14ac:dyDescent="0.2">
      <c r="A188">
        <v>8611364</v>
      </c>
      <c r="B188" t="s">
        <v>267</v>
      </c>
      <c r="C188" t="s">
        <v>278</v>
      </c>
      <c r="D188" t="s">
        <v>72</v>
      </c>
      <c r="E188" t="s">
        <v>328</v>
      </c>
      <c r="G188">
        <v>0.4</v>
      </c>
      <c r="N188">
        <f t="shared" si="20"/>
        <v>0</v>
      </c>
      <c r="O188">
        <f t="shared" si="21"/>
        <v>0.4</v>
      </c>
      <c r="AB188">
        <f t="shared" si="22"/>
        <v>0</v>
      </c>
      <c r="AC188">
        <f t="shared" si="23"/>
        <v>0</v>
      </c>
      <c r="AH188">
        <f t="shared" si="24"/>
        <v>0</v>
      </c>
      <c r="AI188">
        <f t="shared" si="25"/>
        <v>0</v>
      </c>
      <c r="AN188">
        <f t="shared" si="26"/>
        <v>0</v>
      </c>
      <c r="AO188">
        <f t="shared" si="27"/>
        <v>0</v>
      </c>
      <c r="AP188">
        <f t="shared" si="28"/>
        <v>0</v>
      </c>
      <c r="AQ188">
        <f t="shared" si="29"/>
        <v>0.4</v>
      </c>
    </row>
    <row r="189" spans="1:43" x14ac:dyDescent="0.2">
      <c r="A189">
        <v>8042042</v>
      </c>
      <c r="B189" t="s">
        <v>267</v>
      </c>
      <c r="C189" t="s">
        <v>278</v>
      </c>
      <c r="D189" t="s">
        <v>311</v>
      </c>
      <c r="E189" t="s">
        <v>329</v>
      </c>
      <c r="G189">
        <v>0.5</v>
      </c>
      <c r="N189">
        <f t="shared" si="20"/>
        <v>0</v>
      </c>
      <c r="O189">
        <f t="shared" si="21"/>
        <v>0.5</v>
      </c>
      <c r="AB189">
        <f t="shared" si="22"/>
        <v>0</v>
      </c>
      <c r="AC189">
        <f t="shared" si="23"/>
        <v>0</v>
      </c>
      <c r="AH189">
        <f t="shared" si="24"/>
        <v>0</v>
      </c>
      <c r="AI189">
        <f t="shared" si="25"/>
        <v>0</v>
      </c>
      <c r="AN189">
        <f t="shared" si="26"/>
        <v>0</v>
      </c>
      <c r="AO189">
        <f t="shared" si="27"/>
        <v>0</v>
      </c>
      <c r="AP189">
        <f t="shared" si="28"/>
        <v>0</v>
      </c>
      <c r="AQ189">
        <f t="shared" si="29"/>
        <v>0.5</v>
      </c>
    </row>
    <row r="190" spans="1:43" x14ac:dyDescent="0.2">
      <c r="A190">
        <v>4089407</v>
      </c>
      <c r="B190" t="s">
        <v>267</v>
      </c>
      <c r="C190" t="s">
        <v>278</v>
      </c>
      <c r="D190" t="s">
        <v>311</v>
      </c>
      <c r="E190" t="s">
        <v>330</v>
      </c>
      <c r="N190">
        <f t="shared" si="20"/>
        <v>0</v>
      </c>
      <c r="O190">
        <f t="shared" si="21"/>
        <v>0</v>
      </c>
      <c r="AB190">
        <f t="shared" si="22"/>
        <v>0</v>
      </c>
      <c r="AC190">
        <f t="shared" si="23"/>
        <v>0</v>
      </c>
      <c r="AH190">
        <f t="shared" si="24"/>
        <v>0</v>
      </c>
      <c r="AI190">
        <f t="shared" si="25"/>
        <v>0</v>
      </c>
      <c r="AN190">
        <f t="shared" si="26"/>
        <v>0</v>
      </c>
      <c r="AO190">
        <f t="shared" si="27"/>
        <v>0</v>
      </c>
      <c r="AP190">
        <f t="shared" si="28"/>
        <v>0</v>
      </c>
      <c r="AQ190">
        <f t="shared" si="29"/>
        <v>0</v>
      </c>
    </row>
    <row r="191" spans="1:43" x14ac:dyDescent="0.2">
      <c r="A191">
        <v>7533049</v>
      </c>
      <c r="B191" t="s">
        <v>267</v>
      </c>
      <c r="C191" t="s">
        <v>296</v>
      </c>
      <c r="D191" t="s">
        <v>331</v>
      </c>
      <c r="E191" t="s">
        <v>332</v>
      </c>
      <c r="G191">
        <v>0.8</v>
      </c>
      <c r="N191">
        <f t="shared" si="20"/>
        <v>0</v>
      </c>
      <c r="O191">
        <f t="shared" si="21"/>
        <v>0.8</v>
      </c>
      <c r="AB191">
        <f t="shared" si="22"/>
        <v>0</v>
      </c>
      <c r="AC191">
        <f t="shared" si="23"/>
        <v>0</v>
      </c>
      <c r="AH191">
        <f t="shared" si="24"/>
        <v>0</v>
      </c>
      <c r="AI191">
        <f t="shared" si="25"/>
        <v>0</v>
      </c>
      <c r="AN191">
        <f t="shared" si="26"/>
        <v>0</v>
      </c>
      <c r="AO191">
        <f t="shared" si="27"/>
        <v>0</v>
      </c>
      <c r="AP191">
        <f t="shared" si="28"/>
        <v>0</v>
      </c>
      <c r="AQ191">
        <f t="shared" si="29"/>
        <v>0.8</v>
      </c>
    </row>
    <row r="192" spans="1:43" x14ac:dyDescent="0.2">
      <c r="A192">
        <v>1745338</v>
      </c>
      <c r="B192" t="s">
        <v>267</v>
      </c>
      <c r="C192" t="s">
        <v>177</v>
      </c>
      <c r="D192" t="s">
        <v>53</v>
      </c>
      <c r="E192" t="s">
        <v>333</v>
      </c>
      <c r="G192">
        <v>0.7</v>
      </c>
      <c r="M192">
        <v>1</v>
      </c>
      <c r="N192">
        <f t="shared" si="20"/>
        <v>0</v>
      </c>
      <c r="O192">
        <f t="shared" si="21"/>
        <v>1.7</v>
      </c>
      <c r="AB192">
        <f t="shared" si="22"/>
        <v>0</v>
      </c>
      <c r="AC192">
        <f t="shared" si="23"/>
        <v>0</v>
      </c>
      <c r="AH192">
        <f t="shared" si="24"/>
        <v>0</v>
      </c>
      <c r="AI192">
        <f t="shared" si="25"/>
        <v>0</v>
      </c>
      <c r="AN192">
        <f t="shared" si="26"/>
        <v>0</v>
      </c>
      <c r="AO192">
        <f t="shared" si="27"/>
        <v>0</v>
      </c>
      <c r="AP192">
        <f t="shared" si="28"/>
        <v>0</v>
      </c>
      <c r="AQ192">
        <f t="shared" si="29"/>
        <v>1.7</v>
      </c>
    </row>
    <row r="193" spans="1:43" x14ac:dyDescent="0.2">
      <c r="A193">
        <v>8582383</v>
      </c>
      <c r="B193" t="s">
        <v>267</v>
      </c>
      <c r="C193" t="s">
        <v>268</v>
      </c>
      <c r="D193" t="s">
        <v>72</v>
      </c>
      <c r="E193" t="s">
        <v>334</v>
      </c>
      <c r="G193">
        <v>0.4</v>
      </c>
      <c r="N193">
        <f t="shared" si="20"/>
        <v>0</v>
      </c>
      <c r="O193">
        <f t="shared" si="21"/>
        <v>0.4</v>
      </c>
      <c r="Q193">
        <v>0.2</v>
      </c>
      <c r="AB193">
        <f t="shared" si="22"/>
        <v>0</v>
      </c>
      <c r="AC193">
        <f t="shared" si="23"/>
        <v>0.2</v>
      </c>
      <c r="AH193">
        <f t="shared" si="24"/>
        <v>0</v>
      </c>
      <c r="AI193">
        <f t="shared" si="25"/>
        <v>0</v>
      </c>
      <c r="AN193">
        <f t="shared" si="26"/>
        <v>0</v>
      </c>
      <c r="AO193">
        <f t="shared" si="27"/>
        <v>0</v>
      </c>
      <c r="AP193">
        <f t="shared" si="28"/>
        <v>0</v>
      </c>
      <c r="AQ193">
        <f t="shared" si="29"/>
        <v>0.60000000000000009</v>
      </c>
    </row>
    <row r="194" spans="1:43" x14ac:dyDescent="0.2">
      <c r="A194">
        <v>8040983</v>
      </c>
      <c r="B194" t="s">
        <v>267</v>
      </c>
      <c r="C194" t="s">
        <v>278</v>
      </c>
      <c r="D194" t="s">
        <v>72</v>
      </c>
      <c r="E194" t="s">
        <v>335</v>
      </c>
      <c r="N194">
        <f t="shared" si="20"/>
        <v>0</v>
      </c>
      <c r="O194">
        <f t="shared" si="21"/>
        <v>0</v>
      </c>
      <c r="AB194">
        <f t="shared" si="22"/>
        <v>0</v>
      </c>
      <c r="AC194">
        <f t="shared" si="23"/>
        <v>0</v>
      </c>
      <c r="AH194">
        <f t="shared" si="24"/>
        <v>0</v>
      </c>
      <c r="AI194">
        <f t="shared" si="25"/>
        <v>0</v>
      </c>
      <c r="AN194">
        <f t="shared" si="26"/>
        <v>0</v>
      </c>
      <c r="AO194">
        <f t="shared" si="27"/>
        <v>0</v>
      </c>
      <c r="AP194">
        <f t="shared" si="28"/>
        <v>0</v>
      </c>
      <c r="AQ194">
        <f t="shared" si="29"/>
        <v>0</v>
      </c>
    </row>
    <row r="195" spans="1:43" x14ac:dyDescent="0.2">
      <c r="A195">
        <v>9337534</v>
      </c>
      <c r="B195" t="s">
        <v>267</v>
      </c>
      <c r="C195" t="s">
        <v>278</v>
      </c>
      <c r="D195" t="s">
        <v>336</v>
      </c>
      <c r="E195" t="s">
        <v>337</v>
      </c>
      <c r="N195">
        <f t="shared" ref="N195:N258" si="30">SUM(F195,H195,J195,L195)</f>
        <v>0</v>
      </c>
      <c r="O195">
        <f t="shared" ref="O195:O258" si="31">SUM(G195,I195,K195,M195)</f>
        <v>0</v>
      </c>
      <c r="AB195">
        <f t="shared" ref="AB195:AB258" si="32">SUM(P195,R195,T195,V195,X195,Z195)</f>
        <v>0</v>
      </c>
      <c r="AC195">
        <f t="shared" ref="AC195:AC258" si="33">SUM(Q195,S195,U195,W195,Y195,AA195)</f>
        <v>0</v>
      </c>
      <c r="AH195">
        <f t="shared" ref="AH195:AH258" si="34">SUM(AD195,AF195)</f>
        <v>0</v>
      </c>
      <c r="AI195">
        <f t="shared" ref="AI195:AI258" si="35">SUM(AE195,AG195)</f>
        <v>0</v>
      </c>
      <c r="AN195">
        <f t="shared" ref="AN195:AN258" si="36">SUM(AJ195,AL195)</f>
        <v>0</v>
      </c>
      <c r="AO195">
        <f t="shared" ref="AO195:AO258" si="37">SUM(AK195,AM195)</f>
        <v>0</v>
      </c>
      <c r="AP195">
        <f t="shared" ref="AP195:AP258" si="38">SUM(N195,AB195,AH195,AN195)</f>
        <v>0</v>
      </c>
      <c r="AQ195">
        <f t="shared" ref="AQ195:AQ258" si="39">SUM(O195,AC195,AI195,AO195)</f>
        <v>0</v>
      </c>
    </row>
    <row r="196" spans="1:43" x14ac:dyDescent="0.2">
      <c r="A196">
        <v>8040821</v>
      </c>
      <c r="B196" t="s">
        <v>267</v>
      </c>
      <c r="C196" t="s">
        <v>296</v>
      </c>
      <c r="D196" t="s">
        <v>72</v>
      </c>
      <c r="E196" t="s">
        <v>338</v>
      </c>
      <c r="G196">
        <v>0.7</v>
      </c>
      <c r="M196">
        <v>1</v>
      </c>
      <c r="N196">
        <f t="shared" si="30"/>
        <v>0</v>
      </c>
      <c r="O196">
        <f t="shared" si="31"/>
        <v>1.7</v>
      </c>
      <c r="Q196">
        <v>0.7</v>
      </c>
      <c r="AB196">
        <f t="shared" si="32"/>
        <v>0</v>
      </c>
      <c r="AC196">
        <f t="shared" si="33"/>
        <v>0.7</v>
      </c>
      <c r="AE196">
        <v>0.5</v>
      </c>
      <c r="AG196">
        <v>2</v>
      </c>
      <c r="AH196">
        <f t="shared" si="34"/>
        <v>0</v>
      </c>
      <c r="AI196">
        <f t="shared" si="35"/>
        <v>2.5</v>
      </c>
      <c r="AM196">
        <v>4.4000000000000004</v>
      </c>
      <c r="AN196">
        <f t="shared" si="36"/>
        <v>0</v>
      </c>
      <c r="AO196">
        <f t="shared" si="37"/>
        <v>4.4000000000000004</v>
      </c>
      <c r="AP196">
        <f t="shared" si="38"/>
        <v>0</v>
      </c>
      <c r="AQ196">
        <f t="shared" si="39"/>
        <v>9.3000000000000007</v>
      </c>
    </row>
    <row r="197" spans="1:43" x14ac:dyDescent="0.2">
      <c r="A197">
        <v>9337532</v>
      </c>
      <c r="B197" t="s">
        <v>267</v>
      </c>
      <c r="C197" t="s">
        <v>296</v>
      </c>
      <c r="D197" t="s">
        <v>72</v>
      </c>
      <c r="E197" t="s">
        <v>339</v>
      </c>
      <c r="G197">
        <v>0.2</v>
      </c>
      <c r="N197">
        <f t="shared" si="30"/>
        <v>0</v>
      </c>
      <c r="O197">
        <f t="shared" si="31"/>
        <v>0.2</v>
      </c>
      <c r="Q197">
        <v>12.7</v>
      </c>
      <c r="AB197">
        <f t="shared" si="32"/>
        <v>0</v>
      </c>
      <c r="AC197">
        <f t="shared" si="33"/>
        <v>12.7</v>
      </c>
      <c r="AE197">
        <v>0.3</v>
      </c>
      <c r="AG197">
        <v>1</v>
      </c>
      <c r="AH197">
        <f t="shared" si="34"/>
        <v>0</v>
      </c>
      <c r="AI197">
        <f t="shared" si="35"/>
        <v>1.3</v>
      </c>
      <c r="AM197">
        <v>3.3</v>
      </c>
      <c r="AN197">
        <f t="shared" si="36"/>
        <v>0</v>
      </c>
      <c r="AO197">
        <f t="shared" si="37"/>
        <v>3.3</v>
      </c>
      <c r="AP197">
        <f t="shared" si="38"/>
        <v>0</v>
      </c>
      <c r="AQ197">
        <f t="shared" si="39"/>
        <v>17.5</v>
      </c>
    </row>
    <row r="198" spans="1:43" x14ac:dyDescent="0.2">
      <c r="A198">
        <v>9337527</v>
      </c>
      <c r="B198" t="s">
        <v>267</v>
      </c>
      <c r="C198" t="s">
        <v>296</v>
      </c>
      <c r="D198" t="s">
        <v>72</v>
      </c>
      <c r="E198" t="s">
        <v>340</v>
      </c>
      <c r="G198">
        <v>2.4</v>
      </c>
      <c r="M198">
        <v>3</v>
      </c>
      <c r="N198">
        <f t="shared" si="30"/>
        <v>0</v>
      </c>
      <c r="O198">
        <f t="shared" si="31"/>
        <v>5.4</v>
      </c>
      <c r="Q198">
        <v>14.7</v>
      </c>
      <c r="AB198">
        <f t="shared" si="32"/>
        <v>0</v>
      </c>
      <c r="AC198">
        <f t="shared" si="33"/>
        <v>14.7</v>
      </c>
      <c r="AE198">
        <v>0.4</v>
      </c>
      <c r="AG198">
        <v>5</v>
      </c>
      <c r="AH198">
        <f t="shared" si="34"/>
        <v>0</v>
      </c>
      <c r="AI198">
        <f t="shared" si="35"/>
        <v>5.4</v>
      </c>
      <c r="AM198">
        <v>3.6</v>
      </c>
      <c r="AN198">
        <f t="shared" si="36"/>
        <v>0</v>
      </c>
      <c r="AO198">
        <f t="shared" si="37"/>
        <v>3.6</v>
      </c>
      <c r="AP198">
        <f t="shared" si="38"/>
        <v>0</v>
      </c>
      <c r="AQ198">
        <f t="shared" si="39"/>
        <v>29.1</v>
      </c>
    </row>
    <row r="199" spans="1:43" x14ac:dyDescent="0.2">
      <c r="B199" t="s">
        <v>267</v>
      </c>
      <c r="C199" t="s">
        <v>283</v>
      </c>
      <c r="D199" t="s">
        <v>72</v>
      </c>
      <c r="E199" t="s">
        <v>341</v>
      </c>
      <c r="G199">
        <v>0.4</v>
      </c>
      <c r="M199">
        <v>2</v>
      </c>
      <c r="N199">
        <f t="shared" si="30"/>
        <v>0</v>
      </c>
      <c r="O199">
        <f t="shared" si="31"/>
        <v>2.4</v>
      </c>
      <c r="AB199">
        <f t="shared" si="32"/>
        <v>0</v>
      </c>
      <c r="AC199">
        <f t="shared" si="33"/>
        <v>0</v>
      </c>
      <c r="AH199">
        <f t="shared" si="34"/>
        <v>0</v>
      </c>
      <c r="AI199">
        <f t="shared" si="35"/>
        <v>0</v>
      </c>
      <c r="AN199">
        <f t="shared" si="36"/>
        <v>0</v>
      </c>
      <c r="AO199">
        <f t="shared" si="37"/>
        <v>0</v>
      </c>
      <c r="AP199">
        <f t="shared" si="38"/>
        <v>0</v>
      </c>
      <c r="AQ199">
        <f t="shared" si="39"/>
        <v>2.4</v>
      </c>
    </row>
    <row r="200" spans="1:43" x14ac:dyDescent="0.2">
      <c r="A200">
        <v>8042244</v>
      </c>
      <c r="B200" t="s">
        <v>267</v>
      </c>
      <c r="C200" t="s">
        <v>283</v>
      </c>
      <c r="D200" t="s">
        <v>53</v>
      </c>
      <c r="E200" t="s">
        <v>342</v>
      </c>
      <c r="G200">
        <v>1.1000000000000001</v>
      </c>
      <c r="M200">
        <v>2</v>
      </c>
      <c r="N200">
        <f t="shared" si="30"/>
        <v>0</v>
      </c>
      <c r="O200">
        <f t="shared" si="31"/>
        <v>3.1</v>
      </c>
      <c r="Q200">
        <v>0.9</v>
      </c>
      <c r="AB200">
        <f t="shared" si="32"/>
        <v>0</v>
      </c>
      <c r="AC200">
        <f t="shared" si="33"/>
        <v>0.9</v>
      </c>
      <c r="AE200">
        <v>0.5</v>
      </c>
      <c r="AH200">
        <f t="shared" si="34"/>
        <v>0</v>
      </c>
      <c r="AI200">
        <f t="shared" si="35"/>
        <v>0.5</v>
      </c>
      <c r="AN200">
        <f t="shared" si="36"/>
        <v>0</v>
      </c>
      <c r="AO200">
        <f t="shared" si="37"/>
        <v>0</v>
      </c>
      <c r="AP200">
        <f t="shared" si="38"/>
        <v>0</v>
      </c>
      <c r="AQ200">
        <f t="shared" si="39"/>
        <v>4.5</v>
      </c>
    </row>
    <row r="201" spans="1:43" x14ac:dyDescent="0.2">
      <c r="A201">
        <v>8582466</v>
      </c>
      <c r="B201" t="s">
        <v>267</v>
      </c>
      <c r="C201" t="s">
        <v>317</v>
      </c>
      <c r="D201" t="s">
        <v>72</v>
      </c>
      <c r="E201" t="s">
        <v>343</v>
      </c>
      <c r="G201">
        <v>0.1</v>
      </c>
      <c r="M201">
        <v>1</v>
      </c>
      <c r="N201">
        <f t="shared" si="30"/>
        <v>0</v>
      </c>
      <c r="O201">
        <f t="shared" si="31"/>
        <v>1.1000000000000001</v>
      </c>
      <c r="Q201">
        <v>1.1000000000000001</v>
      </c>
      <c r="AB201">
        <f t="shared" si="32"/>
        <v>0</v>
      </c>
      <c r="AC201">
        <f t="shared" si="33"/>
        <v>1.1000000000000001</v>
      </c>
      <c r="AE201">
        <v>0.3</v>
      </c>
      <c r="AH201">
        <f t="shared" si="34"/>
        <v>0</v>
      </c>
      <c r="AI201">
        <f t="shared" si="35"/>
        <v>0.3</v>
      </c>
      <c r="AN201">
        <f t="shared" si="36"/>
        <v>0</v>
      </c>
      <c r="AO201">
        <f t="shared" si="37"/>
        <v>0</v>
      </c>
      <c r="AP201">
        <f t="shared" si="38"/>
        <v>0</v>
      </c>
      <c r="AQ201">
        <f t="shared" si="39"/>
        <v>2.5</v>
      </c>
    </row>
    <row r="202" spans="1:43" x14ac:dyDescent="0.2">
      <c r="A202">
        <v>8040501</v>
      </c>
      <c r="B202" t="s">
        <v>267</v>
      </c>
      <c r="C202" t="s">
        <v>317</v>
      </c>
      <c r="D202" t="s">
        <v>72</v>
      </c>
      <c r="E202" t="s">
        <v>344</v>
      </c>
      <c r="G202">
        <v>0.8</v>
      </c>
      <c r="N202">
        <f t="shared" si="30"/>
        <v>0</v>
      </c>
      <c r="O202">
        <f t="shared" si="31"/>
        <v>0.8</v>
      </c>
      <c r="AB202">
        <f t="shared" si="32"/>
        <v>0</v>
      </c>
      <c r="AC202">
        <f t="shared" si="33"/>
        <v>0</v>
      </c>
      <c r="AH202">
        <f t="shared" si="34"/>
        <v>0</v>
      </c>
      <c r="AI202">
        <f t="shared" si="35"/>
        <v>0</v>
      </c>
      <c r="AN202">
        <f t="shared" si="36"/>
        <v>0</v>
      </c>
      <c r="AO202">
        <f t="shared" si="37"/>
        <v>0</v>
      </c>
      <c r="AP202">
        <f t="shared" si="38"/>
        <v>0</v>
      </c>
      <c r="AQ202">
        <f t="shared" si="39"/>
        <v>0.8</v>
      </c>
    </row>
    <row r="203" spans="1:43" x14ac:dyDescent="0.2">
      <c r="A203">
        <v>8582524</v>
      </c>
      <c r="B203" t="s">
        <v>267</v>
      </c>
      <c r="C203" t="s">
        <v>177</v>
      </c>
      <c r="D203" t="s">
        <v>53</v>
      </c>
      <c r="E203" t="s">
        <v>345</v>
      </c>
      <c r="G203">
        <v>2.1</v>
      </c>
      <c r="M203">
        <v>5</v>
      </c>
      <c r="N203">
        <f t="shared" si="30"/>
        <v>0</v>
      </c>
      <c r="O203">
        <f t="shared" si="31"/>
        <v>7.1</v>
      </c>
      <c r="AB203">
        <f t="shared" si="32"/>
        <v>0</v>
      </c>
      <c r="AC203">
        <f t="shared" si="33"/>
        <v>0</v>
      </c>
      <c r="AH203">
        <f t="shared" si="34"/>
        <v>0</v>
      </c>
      <c r="AI203">
        <f t="shared" si="35"/>
        <v>0</v>
      </c>
      <c r="AN203">
        <f t="shared" si="36"/>
        <v>0</v>
      </c>
      <c r="AO203">
        <f t="shared" si="37"/>
        <v>0</v>
      </c>
      <c r="AP203">
        <f t="shared" si="38"/>
        <v>0</v>
      </c>
      <c r="AQ203">
        <f t="shared" si="39"/>
        <v>7.1</v>
      </c>
    </row>
    <row r="204" spans="1:43" x14ac:dyDescent="0.2">
      <c r="A204">
        <v>9337535</v>
      </c>
      <c r="B204" t="s">
        <v>267</v>
      </c>
      <c r="C204" t="s">
        <v>289</v>
      </c>
      <c r="D204" t="s">
        <v>72</v>
      </c>
      <c r="E204" t="s">
        <v>346</v>
      </c>
      <c r="G204">
        <v>0.6</v>
      </c>
      <c r="M204">
        <v>2</v>
      </c>
      <c r="N204">
        <f t="shared" si="30"/>
        <v>0</v>
      </c>
      <c r="O204">
        <f t="shared" si="31"/>
        <v>2.6</v>
      </c>
      <c r="Q204">
        <v>2</v>
      </c>
      <c r="AB204">
        <f t="shared" si="32"/>
        <v>0</v>
      </c>
      <c r="AC204">
        <f t="shared" si="33"/>
        <v>2</v>
      </c>
      <c r="AE204">
        <v>1</v>
      </c>
      <c r="AH204">
        <f t="shared" si="34"/>
        <v>0</v>
      </c>
      <c r="AI204">
        <f t="shared" si="35"/>
        <v>1</v>
      </c>
      <c r="AN204">
        <f t="shared" si="36"/>
        <v>0</v>
      </c>
      <c r="AO204">
        <f t="shared" si="37"/>
        <v>0</v>
      </c>
      <c r="AP204">
        <f t="shared" si="38"/>
        <v>0</v>
      </c>
      <c r="AQ204">
        <f t="shared" si="39"/>
        <v>5.6</v>
      </c>
    </row>
    <row r="205" spans="1:43" x14ac:dyDescent="0.2">
      <c r="A205">
        <v>9337529</v>
      </c>
      <c r="B205" t="s">
        <v>267</v>
      </c>
      <c r="C205" t="s">
        <v>177</v>
      </c>
      <c r="D205" t="s">
        <v>72</v>
      </c>
      <c r="E205" t="s">
        <v>347</v>
      </c>
      <c r="G205">
        <v>1.8</v>
      </c>
      <c r="M205">
        <v>8</v>
      </c>
      <c r="N205">
        <f t="shared" si="30"/>
        <v>0</v>
      </c>
      <c r="O205">
        <f t="shared" si="31"/>
        <v>9.8000000000000007</v>
      </c>
      <c r="Q205">
        <v>3.9</v>
      </c>
      <c r="AB205">
        <f t="shared" si="32"/>
        <v>0</v>
      </c>
      <c r="AC205">
        <f t="shared" si="33"/>
        <v>3.9</v>
      </c>
      <c r="AH205">
        <f t="shared" si="34"/>
        <v>0</v>
      </c>
      <c r="AI205">
        <f t="shared" si="35"/>
        <v>0</v>
      </c>
      <c r="AN205">
        <f t="shared" si="36"/>
        <v>0</v>
      </c>
      <c r="AO205">
        <f t="shared" si="37"/>
        <v>0</v>
      </c>
      <c r="AP205">
        <f t="shared" si="38"/>
        <v>0</v>
      </c>
      <c r="AQ205">
        <f t="shared" si="39"/>
        <v>13.700000000000001</v>
      </c>
    </row>
    <row r="206" spans="1:43" x14ac:dyDescent="0.2">
      <c r="A206">
        <v>8042295</v>
      </c>
      <c r="B206" t="s">
        <v>267</v>
      </c>
      <c r="C206" t="s">
        <v>348</v>
      </c>
      <c r="D206" t="s">
        <v>293</v>
      </c>
      <c r="E206" t="s">
        <v>349</v>
      </c>
      <c r="G206">
        <v>0.1</v>
      </c>
      <c r="M206">
        <v>1</v>
      </c>
      <c r="N206">
        <f t="shared" si="30"/>
        <v>0</v>
      </c>
      <c r="O206">
        <f t="shared" si="31"/>
        <v>1.1000000000000001</v>
      </c>
      <c r="AB206">
        <f t="shared" si="32"/>
        <v>0</v>
      </c>
      <c r="AC206">
        <f t="shared" si="33"/>
        <v>0</v>
      </c>
      <c r="AH206">
        <f t="shared" si="34"/>
        <v>0</v>
      </c>
      <c r="AI206">
        <f t="shared" si="35"/>
        <v>0</v>
      </c>
      <c r="AN206">
        <f t="shared" si="36"/>
        <v>0</v>
      </c>
      <c r="AO206">
        <f t="shared" si="37"/>
        <v>0</v>
      </c>
      <c r="AP206">
        <f t="shared" si="38"/>
        <v>0</v>
      </c>
      <c r="AQ206">
        <f t="shared" si="39"/>
        <v>1.1000000000000001</v>
      </c>
    </row>
    <row r="207" spans="1:43" x14ac:dyDescent="0.2">
      <c r="A207">
        <v>9337528</v>
      </c>
      <c r="B207" t="s">
        <v>267</v>
      </c>
      <c r="C207" t="s">
        <v>317</v>
      </c>
      <c r="D207" t="s">
        <v>72</v>
      </c>
      <c r="E207" t="s">
        <v>350</v>
      </c>
      <c r="G207">
        <v>0.9</v>
      </c>
      <c r="N207">
        <f t="shared" si="30"/>
        <v>0</v>
      </c>
      <c r="O207">
        <f t="shared" si="31"/>
        <v>0.9</v>
      </c>
      <c r="AB207">
        <f t="shared" si="32"/>
        <v>0</v>
      </c>
      <c r="AC207">
        <f t="shared" si="33"/>
        <v>0</v>
      </c>
      <c r="AH207">
        <f t="shared" si="34"/>
        <v>0</v>
      </c>
      <c r="AI207">
        <f t="shared" si="35"/>
        <v>0</v>
      </c>
      <c r="AN207">
        <f t="shared" si="36"/>
        <v>0</v>
      </c>
      <c r="AO207">
        <f t="shared" si="37"/>
        <v>0</v>
      </c>
      <c r="AP207">
        <f t="shared" si="38"/>
        <v>0</v>
      </c>
      <c r="AQ207">
        <f t="shared" si="39"/>
        <v>0.9</v>
      </c>
    </row>
    <row r="208" spans="1:43" x14ac:dyDescent="0.2">
      <c r="A208">
        <v>1745504</v>
      </c>
      <c r="B208" t="s">
        <v>267</v>
      </c>
      <c r="C208" t="s">
        <v>278</v>
      </c>
      <c r="D208" t="s">
        <v>53</v>
      </c>
      <c r="E208" t="s">
        <v>351</v>
      </c>
      <c r="G208">
        <v>0.7</v>
      </c>
      <c r="N208">
        <f t="shared" si="30"/>
        <v>0</v>
      </c>
      <c r="O208">
        <f t="shared" si="31"/>
        <v>0.7</v>
      </c>
      <c r="Q208">
        <v>1.1000000000000001</v>
      </c>
      <c r="AB208">
        <f t="shared" si="32"/>
        <v>0</v>
      </c>
      <c r="AC208">
        <f t="shared" si="33"/>
        <v>1.1000000000000001</v>
      </c>
      <c r="AH208">
        <f t="shared" si="34"/>
        <v>0</v>
      </c>
      <c r="AI208">
        <f t="shared" si="35"/>
        <v>0</v>
      </c>
      <c r="AN208">
        <f t="shared" si="36"/>
        <v>0</v>
      </c>
      <c r="AO208">
        <f t="shared" si="37"/>
        <v>0</v>
      </c>
      <c r="AP208">
        <f t="shared" si="38"/>
        <v>0</v>
      </c>
      <c r="AQ208">
        <f t="shared" si="39"/>
        <v>1.8</v>
      </c>
    </row>
    <row r="209" spans="1:43" x14ac:dyDescent="0.2">
      <c r="A209">
        <v>1372210</v>
      </c>
      <c r="B209" t="s">
        <v>267</v>
      </c>
      <c r="C209" t="s">
        <v>278</v>
      </c>
      <c r="D209" t="s">
        <v>72</v>
      </c>
      <c r="E209" t="s">
        <v>352</v>
      </c>
      <c r="G209">
        <v>0.4</v>
      </c>
      <c r="N209">
        <f t="shared" si="30"/>
        <v>0</v>
      </c>
      <c r="O209">
        <f t="shared" si="31"/>
        <v>0.4</v>
      </c>
      <c r="AB209">
        <f t="shared" si="32"/>
        <v>0</v>
      </c>
      <c r="AC209">
        <f t="shared" si="33"/>
        <v>0</v>
      </c>
      <c r="AH209">
        <f t="shared" si="34"/>
        <v>0</v>
      </c>
      <c r="AI209">
        <f t="shared" si="35"/>
        <v>0</v>
      </c>
      <c r="AN209">
        <f t="shared" si="36"/>
        <v>0</v>
      </c>
      <c r="AO209">
        <f t="shared" si="37"/>
        <v>0</v>
      </c>
      <c r="AP209">
        <f t="shared" si="38"/>
        <v>0</v>
      </c>
      <c r="AQ209">
        <f t="shared" si="39"/>
        <v>0.4</v>
      </c>
    </row>
    <row r="210" spans="1:43" x14ac:dyDescent="0.2">
      <c r="A210">
        <v>5414946</v>
      </c>
      <c r="B210" t="s">
        <v>267</v>
      </c>
      <c r="C210" t="s">
        <v>268</v>
      </c>
      <c r="D210" t="s">
        <v>72</v>
      </c>
      <c r="E210" t="s">
        <v>353</v>
      </c>
      <c r="G210">
        <v>0.3</v>
      </c>
      <c r="N210">
        <f t="shared" si="30"/>
        <v>0</v>
      </c>
      <c r="O210">
        <f t="shared" si="31"/>
        <v>0.3</v>
      </c>
      <c r="AB210">
        <f t="shared" si="32"/>
        <v>0</v>
      </c>
      <c r="AC210">
        <f t="shared" si="33"/>
        <v>0</v>
      </c>
      <c r="AH210">
        <f t="shared" si="34"/>
        <v>0</v>
      </c>
      <c r="AI210">
        <f t="shared" si="35"/>
        <v>0</v>
      </c>
      <c r="AN210">
        <f t="shared" si="36"/>
        <v>0</v>
      </c>
      <c r="AO210">
        <f t="shared" si="37"/>
        <v>0</v>
      </c>
      <c r="AP210">
        <f t="shared" si="38"/>
        <v>0</v>
      </c>
      <c r="AQ210">
        <f t="shared" si="39"/>
        <v>0.3</v>
      </c>
    </row>
    <row r="211" spans="1:43" x14ac:dyDescent="0.2">
      <c r="A211">
        <v>1798348</v>
      </c>
      <c r="B211" t="s">
        <v>267</v>
      </c>
      <c r="C211" t="s">
        <v>177</v>
      </c>
      <c r="D211" t="s">
        <v>72</v>
      </c>
      <c r="E211" t="s">
        <v>354</v>
      </c>
      <c r="G211">
        <v>1.6</v>
      </c>
      <c r="M211">
        <v>3</v>
      </c>
      <c r="N211">
        <f t="shared" si="30"/>
        <v>0</v>
      </c>
      <c r="O211">
        <f t="shared" si="31"/>
        <v>4.5999999999999996</v>
      </c>
      <c r="Q211">
        <v>6.1</v>
      </c>
      <c r="AB211">
        <f t="shared" si="32"/>
        <v>0</v>
      </c>
      <c r="AC211">
        <f t="shared" si="33"/>
        <v>6.1</v>
      </c>
      <c r="AH211">
        <f t="shared" si="34"/>
        <v>0</v>
      </c>
      <c r="AI211">
        <f t="shared" si="35"/>
        <v>0</v>
      </c>
      <c r="AN211">
        <f t="shared" si="36"/>
        <v>0</v>
      </c>
      <c r="AO211">
        <f t="shared" si="37"/>
        <v>0</v>
      </c>
      <c r="AP211">
        <f t="shared" si="38"/>
        <v>0</v>
      </c>
      <c r="AQ211">
        <f t="shared" si="39"/>
        <v>10.7</v>
      </c>
    </row>
    <row r="212" spans="1:43" x14ac:dyDescent="0.2">
      <c r="A212">
        <v>6312038</v>
      </c>
      <c r="B212" t="s">
        <v>267</v>
      </c>
      <c r="C212" t="s">
        <v>289</v>
      </c>
      <c r="D212" t="s">
        <v>72</v>
      </c>
      <c r="E212" t="s">
        <v>355</v>
      </c>
      <c r="G212">
        <v>0.3</v>
      </c>
      <c r="N212">
        <f t="shared" si="30"/>
        <v>0</v>
      </c>
      <c r="O212">
        <f t="shared" si="31"/>
        <v>0.3</v>
      </c>
      <c r="AB212">
        <f t="shared" si="32"/>
        <v>0</v>
      </c>
      <c r="AC212">
        <f t="shared" si="33"/>
        <v>0</v>
      </c>
      <c r="AH212">
        <f t="shared" si="34"/>
        <v>0</v>
      </c>
      <c r="AI212">
        <f t="shared" si="35"/>
        <v>0</v>
      </c>
      <c r="AN212">
        <f t="shared" si="36"/>
        <v>0</v>
      </c>
      <c r="AO212">
        <f t="shared" si="37"/>
        <v>0</v>
      </c>
      <c r="AP212">
        <f t="shared" si="38"/>
        <v>0</v>
      </c>
      <c r="AQ212">
        <f t="shared" si="39"/>
        <v>0.3</v>
      </c>
    </row>
    <row r="213" spans="1:43" x14ac:dyDescent="0.2">
      <c r="A213">
        <v>8042307</v>
      </c>
      <c r="B213" t="s">
        <v>267</v>
      </c>
      <c r="C213" t="s">
        <v>296</v>
      </c>
      <c r="D213" t="s">
        <v>72</v>
      </c>
      <c r="E213" t="s">
        <v>356</v>
      </c>
      <c r="G213">
        <v>0.2</v>
      </c>
      <c r="M213">
        <v>1</v>
      </c>
      <c r="N213">
        <f t="shared" si="30"/>
        <v>0</v>
      </c>
      <c r="O213">
        <f t="shared" si="31"/>
        <v>1.2</v>
      </c>
      <c r="Q213">
        <v>2.2000000000000002</v>
      </c>
      <c r="AB213">
        <f t="shared" si="32"/>
        <v>0</v>
      </c>
      <c r="AC213">
        <f t="shared" si="33"/>
        <v>2.2000000000000002</v>
      </c>
      <c r="AH213">
        <f t="shared" si="34"/>
        <v>0</v>
      </c>
      <c r="AI213">
        <f t="shared" si="35"/>
        <v>0</v>
      </c>
      <c r="AN213">
        <f t="shared" si="36"/>
        <v>0</v>
      </c>
      <c r="AO213">
        <f t="shared" si="37"/>
        <v>0</v>
      </c>
      <c r="AP213">
        <f t="shared" si="38"/>
        <v>0</v>
      </c>
      <c r="AQ213">
        <f t="shared" si="39"/>
        <v>3.4000000000000004</v>
      </c>
    </row>
    <row r="214" spans="1:43" x14ac:dyDescent="0.2">
      <c r="A214">
        <v>6904462</v>
      </c>
      <c r="B214" t="s">
        <v>267</v>
      </c>
      <c r="C214" t="s">
        <v>278</v>
      </c>
      <c r="D214" t="s">
        <v>53</v>
      </c>
      <c r="E214" t="s">
        <v>357</v>
      </c>
      <c r="G214">
        <v>0.1</v>
      </c>
      <c r="N214">
        <f t="shared" si="30"/>
        <v>0</v>
      </c>
      <c r="O214">
        <f t="shared" si="31"/>
        <v>0.1</v>
      </c>
      <c r="AB214">
        <f t="shared" si="32"/>
        <v>0</v>
      </c>
      <c r="AC214">
        <f t="shared" si="33"/>
        <v>0</v>
      </c>
      <c r="AH214">
        <f t="shared" si="34"/>
        <v>0</v>
      </c>
      <c r="AI214">
        <f t="shared" si="35"/>
        <v>0</v>
      </c>
      <c r="AN214">
        <f t="shared" si="36"/>
        <v>0</v>
      </c>
      <c r="AO214">
        <f t="shared" si="37"/>
        <v>0</v>
      </c>
      <c r="AP214">
        <f t="shared" si="38"/>
        <v>0</v>
      </c>
      <c r="AQ214">
        <f t="shared" si="39"/>
        <v>0.1</v>
      </c>
    </row>
    <row r="215" spans="1:43" x14ac:dyDescent="0.2">
      <c r="A215">
        <v>8146703</v>
      </c>
      <c r="B215" t="s">
        <v>267</v>
      </c>
      <c r="C215" t="s">
        <v>358</v>
      </c>
      <c r="D215" t="s">
        <v>359</v>
      </c>
      <c r="E215" t="s">
        <v>360</v>
      </c>
      <c r="G215">
        <v>1</v>
      </c>
      <c r="M215">
        <v>1</v>
      </c>
      <c r="N215">
        <f t="shared" si="30"/>
        <v>0</v>
      </c>
      <c r="O215">
        <f t="shared" si="31"/>
        <v>2</v>
      </c>
      <c r="Q215">
        <v>0.1</v>
      </c>
      <c r="AB215">
        <f t="shared" si="32"/>
        <v>0</v>
      </c>
      <c r="AC215">
        <f t="shared" si="33"/>
        <v>0.1</v>
      </c>
      <c r="AH215">
        <f t="shared" si="34"/>
        <v>0</v>
      </c>
      <c r="AI215">
        <f t="shared" si="35"/>
        <v>0</v>
      </c>
      <c r="AN215">
        <f t="shared" si="36"/>
        <v>0</v>
      </c>
      <c r="AO215">
        <f t="shared" si="37"/>
        <v>0</v>
      </c>
      <c r="AP215">
        <f t="shared" si="38"/>
        <v>0</v>
      </c>
      <c r="AQ215">
        <f t="shared" si="39"/>
        <v>2.1</v>
      </c>
    </row>
    <row r="216" spans="1:43" x14ac:dyDescent="0.2">
      <c r="A216">
        <v>8582357</v>
      </c>
      <c r="B216" t="s">
        <v>267</v>
      </c>
      <c r="C216" t="s">
        <v>361</v>
      </c>
      <c r="D216" t="s">
        <v>53</v>
      </c>
      <c r="E216" t="s">
        <v>362</v>
      </c>
      <c r="G216">
        <v>0.3</v>
      </c>
      <c r="M216">
        <v>2</v>
      </c>
      <c r="N216">
        <f t="shared" si="30"/>
        <v>0</v>
      </c>
      <c r="O216">
        <f t="shared" si="31"/>
        <v>2.2999999999999998</v>
      </c>
      <c r="Q216">
        <v>1.7</v>
      </c>
      <c r="AB216">
        <f t="shared" si="32"/>
        <v>0</v>
      </c>
      <c r="AC216">
        <f t="shared" si="33"/>
        <v>1.7</v>
      </c>
      <c r="AH216">
        <f t="shared" si="34"/>
        <v>0</v>
      </c>
      <c r="AI216">
        <f t="shared" si="35"/>
        <v>0</v>
      </c>
      <c r="AN216">
        <f t="shared" si="36"/>
        <v>0</v>
      </c>
      <c r="AO216">
        <f t="shared" si="37"/>
        <v>0</v>
      </c>
      <c r="AP216">
        <f t="shared" si="38"/>
        <v>0</v>
      </c>
      <c r="AQ216">
        <f t="shared" si="39"/>
        <v>4</v>
      </c>
    </row>
    <row r="217" spans="1:43" x14ac:dyDescent="0.2">
      <c r="A217">
        <v>8760674</v>
      </c>
      <c r="B217" t="s">
        <v>267</v>
      </c>
      <c r="C217" t="s">
        <v>177</v>
      </c>
      <c r="D217" t="s">
        <v>271</v>
      </c>
      <c r="E217" t="s">
        <v>363</v>
      </c>
      <c r="N217">
        <f t="shared" si="30"/>
        <v>0</v>
      </c>
      <c r="O217">
        <f t="shared" si="31"/>
        <v>0</v>
      </c>
      <c r="Q217">
        <v>2.1</v>
      </c>
      <c r="AB217">
        <f t="shared" si="32"/>
        <v>0</v>
      </c>
      <c r="AC217">
        <f t="shared" si="33"/>
        <v>2.1</v>
      </c>
      <c r="AH217">
        <f t="shared" si="34"/>
        <v>0</v>
      </c>
      <c r="AI217">
        <f t="shared" si="35"/>
        <v>0</v>
      </c>
      <c r="AN217">
        <f t="shared" si="36"/>
        <v>0</v>
      </c>
      <c r="AO217">
        <f t="shared" si="37"/>
        <v>0</v>
      </c>
      <c r="AP217">
        <f t="shared" si="38"/>
        <v>0</v>
      </c>
      <c r="AQ217">
        <f t="shared" si="39"/>
        <v>2.1</v>
      </c>
    </row>
    <row r="218" spans="1:43" x14ac:dyDescent="0.2">
      <c r="A218">
        <v>9337538</v>
      </c>
      <c r="B218" t="s">
        <v>267</v>
      </c>
      <c r="C218" t="s">
        <v>289</v>
      </c>
      <c r="D218" t="s">
        <v>72</v>
      </c>
      <c r="E218" t="s">
        <v>364</v>
      </c>
      <c r="G218">
        <v>0.3</v>
      </c>
      <c r="N218">
        <f t="shared" si="30"/>
        <v>0</v>
      </c>
      <c r="O218">
        <f t="shared" si="31"/>
        <v>0.3</v>
      </c>
      <c r="AB218">
        <f t="shared" si="32"/>
        <v>0</v>
      </c>
      <c r="AC218">
        <f t="shared" si="33"/>
        <v>0</v>
      </c>
      <c r="AH218">
        <f t="shared" si="34"/>
        <v>0</v>
      </c>
      <c r="AI218">
        <f t="shared" si="35"/>
        <v>0</v>
      </c>
      <c r="AN218">
        <f t="shared" si="36"/>
        <v>0</v>
      </c>
      <c r="AO218">
        <f t="shared" si="37"/>
        <v>0</v>
      </c>
      <c r="AP218">
        <f t="shared" si="38"/>
        <v>0</v>
      </c>
      <c r="AQ218">
        <f t="shared" si="39"/>
        <v>0.3</v>
      </c>
    </row>
    <row r="219" spans="1:43" x14ac:dyDescent="0.2">
      <c r="A219">
        <v>8040962</v>
      </c>
      <c r="B219" t="s">
        <v>267</v>
      </c>
      <c r="C219" t="s">
        <v>283</v>
      </c>
      <c r="D219" t="s">
        <v>72</v>
      </c>
      <c r="E219" t="s">
        <v>365</v>
      </c>
      <c r="N219">
        <f t="shared" si="30"/>
        <v>0</v>
      </c>
      <c r="O219">
        <f t="shared" si="31"/>
        <v>0</v>
      </c>
      <c r="Q219">
        <v>1.4</v>
      </c>
      <c r="AB219">
        <f t="shared" si="32"/>
        <v>0</v>
      </c>
      <c r="AC219">
        <f t="shared" si="33"/>
        <v>1.4</v>
      </c>
      <c r="AH219">
        <f t="shared" si="34"/>
        <v>0</v>
      </c>
      <c r="AI219">
        <f t="shared" si="35"/>
        <v>0</v>
      </c>
      <c r="AN219">
        <f t="shared" si="36"/>
        <v>0</v>
      </c>
      <c r="AO219">
        <f t="shared" si="37"/>
        <v>0</v>
      </c>
      <c r="AP219">
        <f t="shared" si="38"/>
        <v>0</v>
      </c>
      <c r="AQ219">
        <f t="shared" si="39"/>
        <v>1.4</v>
      </c>
    </row>
    <row r="220" spans="1:43" x14ac:dyDescent="0.2">
      <c r="A220">
        <v>7960497</v>
      </c>
      <c r="B220" t="s">
        <v>267</v>
      </c>
      <c r="C220" t="s">
        <v>283</v>
      </c>
      <c r="D220" t="s">
        <v>72</v>
      </c>
      <c r="E220" t="s">
        <v>366</v>
      </c>
      <c r="G220">
        <v>0.5</v>
      </c>
      <c r="N220">
        <f t="shared" si="30"/>
        <v>0</v>
      </c>
      <c r="O220">
        <f t="shared" si="31"/>
        <v>0.5</v>
      </c>
      <c r="Q220">
        <v>0.5</v>
      </c>
      <c r="AB220">
        <f t="shared" si="32"/>
        <v>0</v>
      </c>
      <c r="AC220">
        <f t="shared" si="33"/>
        <v>0.5</v>
      </c>
      <c r="AH220">
        <f t="shared" si="34"/>
        <v>0</v>
      </c>
      <c r="AI220">
        <f t="shared" si="35"/>
        <v>0</v>
      </c>
      <c r="AM220">
        <v>2.7</v>
      </c>
      <c r="AN220">
        <f t="shared" si="36"/>
        <v>0</v>
      </c>
      <c r="AO220">
        <f t="shared" si="37"/>
        <v>2.7</v>
      </c>
      <c r="AP220">
        <f t="shared" si="38"/>
        <v>0</v>
      </c>
      <c r="AQ220">
        <f t="shared" si="39"/>
        <v>3.7</v>
      </c>
    </row>
    <row r="221" spans="1:43" x14ac:dyDescent="0.2">
      <c r="A221">
        <v>8582500</v>
      </c>
      <c r="B221" t="s">
        <v>267</v>
      </c>
      <c r="C221" t="s">
        <v>283</v>
      </c>
      <c r="D221" t="s">
        <v>72</v>
      </c>
      <c r="E221" t="s">
        <v>367</v>
      </c>
      <c r="G221">
        <v>0.4</v>
      </c>
      <c r="N221">
        <f t="shared" si="30"/>
        <v>0</v>
      </c>
      <c r="O221">
        <f t="shared" si="31"/>
        <v>0.4</v>
      </c>
      <c r="Q221">
        <v>1.3</v>
      </c>
      <c r="AB221">
        <f t="shared" si="32"/>
        <v>0</v>
      </c>
      <c r="AC221">
        <f t="shared" si="33"/>
        <v>1.3</v>
      </c>
      <c r="AH221">
        <f t="shared" si="34"/>
        <v>0</v>
      </c>
      <c r="AI221">
        <f t="shared" si="35"/>
        <v>0</v>
      </c>
      <c r="AN221">
        <f t="shared" si="36"/>
        <v>0</v>
      </c>
      <c r="AO221">
        <f t="shared" si="37"/>
        <v>0</v>
      </c>
      <c r="AP221">
        <f t="shared" si="38"/>
        <v>0</v>
      </c>
      <c r="AQ221">
        <f t="shared" si="39"/>
        <v>1.7000000000000002</v>
      </c>
    </row>
    <row r="222" spans="1:43" x14ac:dyDescent="0.2">
      <c r="A222">
        <v>6866941</v>
      </c>
      <c r="B222" t="s">
        <v>267</v>
      </c>
      <c r="C222" t="s">
        <v>283</v>
      </c>
      <c r="D222" t="s">
        <v>72</v>
      </c>
      <c r="E222" t="s">
        <v>368</v>
      </c>
      <c r="G222">
        <v>2.2000000000000002</v>
      </c>
      <c r="M222">
        <v>3</v>
      </c>
      <c r="N222">
        <f t="shared" si="30"/>
        <v>0</v>
      </c>
      <c r="O222">
        <f t="shared" si="31"/>
        <v>5.2</v>
      </c>
      <c r="Q222">
        <v>1.6</v>
      </c>
      <c r="AB222">
        <f t="shared" si="32"/>
        <v>0</v>
      </c>
      <c r="AC222">
        <f t="shared" si="33"/>
        <v>1.6</v>
      </c>
      <c r="AH222">
        <f t="shared" si="34"/>
        <v>0</v>
      </c>
      <c r="AI222">
        <f t="shared" si="35"/>
        <v>0</v>
      </c>
      <c r="AN222">
        <f t="shared" si="36"/>
        <v>0</v>
      </c>
      <c r="AO222">
        <f t="shared" si="37"/>
        <v>0</v>
      </c>
      <c r="AP222">
        <f t="shared" si="38"/>
        <v>0</v>
      </c>
      <c r="AQ222">
        <f t="shared" si="39"/>
        <v>6.8000000000000007</v>
      </c>
    </row>
    <row r="223" spans="1:43" x14ac:dyDescent="0.2">
      <c r="A223">
        <v>5603765</v>
      </c>
      <c r="B223" t="s">
        <v>267</v>
      </c>
      <c r="C223" t="s">
        <v>177</v>
      </c>
      <c r="D223" t="s">
        <v>369</v>
      </c>
      <c r="E223" t="s">
        <v>370</v>
      </c>
      <c r="N223">
        <f t="shared" si="30"/>
        <v>0</v>
      </c>
      <c r="O223">
        <f t="shared" si="31"/>
        <v>0</v>
      </c>
      <c r="AB223">
        <f t="shared" si="32"/>
        <v>0</v>
      </c>
      <c r="AC223">
        <f t="shared" si="33"/>
        <v>0</v>
      </c>
      <c r="AH223">
        <f t="shared" si="34"/>
        <v>0</v>
      </c>
      <c r="AI223">
        <f t="shared" si="35"/>
        <v>0</v>
      </c>
      <c r="AN223">
        <f t="shared" si="36"/>
        <v>0</v>
      </c>
      <c r="AO223">
        <f t="shared" si="37"/>
        <v>0</v>
      </c>
      <c r="AP223">
        <f t="shared" si="38"/>
        <v>0</v>
      </c>
      <c r="AQ223">
        <f t="shared" si="39"/>
        <v>0</v>
      </c>
    </row>
    <row r="224" spans="1:43" x14ac:dyDescent="0.2">
      <c r="A224">
        <v>7989176</v>
      </c>
      <c r="B224" t="s">
        <v>267</v>
      </c>
      <c r="C224" t="s">
        <v>317</v>
      </c>
      <c r="D224" t="s">
        <v>72</v>
      </c>
      <c r="E224" t="s">
        <v>371</v>
      </c>
      <c r="N224">
        <f t="shared" si="30"/>
        <v>0</v>
      </c>
      <c r="O224">
        <f t="shared" si="31"/>
        <v>0</v>
      </c>
      <c r="AB224">
        <f t="shared" si="32"/>
        <v>0</v>
      </c>
      <c r="AC224">
        <f t="shared" si="33"/>
        <v>0</v>
      </c>
      <c r="AH224">
        <f t="shared" si="34"/>
        <v>0</v>
      </c>
      <c r="AI224">
        <f t="shared" si="35"/>
        <v>0</v>
      </c>
      <c r="AN224">
        <f t="shared" si="36"/>
        <v>0</v>
      </c>
      <c r="AO224">
        <f t="shared" si="37"/>
        <v>0</v>
      </c>
      <c r="AP224">
        <f t="shared" si="38"/>
        <v>0</v>
      </c>
      <c r="AQ224">
        <f t="shared" si="39"/>
        <v>0</v>
      </c>
    </row>
    <row r="225" spans="1:43" x14ac:dyDescent="0.2">
      <c r="A225">
        <v>362150</v>
      </c>
      <c r="B225" t="s">
        <v>267</v>
      </c>
      <c r="C225" t="s">
        <v>283</v>
      </c>
      <c r="D225" t="s">
        <v>53</v>
      </c>
      <c r="E225" t="s">
        <v>372</v>
      </c>
      <c r="N225">
        <f t="shared" si="30"/>
        <v>0</v>
      </c>
      <c r="O225">
        <f t="shared" si="31"/>
        <v>0</v>
      </c>
      <c r="AB225">
        <f t="shared" si="32"/>
        <v>0</v>
      </c>
      <c r="AC225">
        <f t="shared" si="33"/>
        <v>0</v>
      </c>
      <c r="AH225">
        <f t="shared" si="34"/>
        <v>0</v>
      </c>
      <c r="AI225">
        <f t="shared" si="35"/>
        <v>0</v>
      </c>
      <c r="AN225">
        <f t="shared" si="36"/>
        <v>0</v>
      </c>
      <c r="AO225">
        <f t="shared" si="37"/>
        <v>0</v>
      </c>
      <c r="AP225">
        <f t="shared" si="38"/>
        <v>0</v>
      </c>
      <c r="AQ225">
        <f t="shared" si="39"/>
        <v>0</v>
      </c>
    </row>
    <row r="226" spans="1:43" x14ac:dyDescent="0.2">
      <c r="A226">
        <v>2250669</v>
      </c>
      <c r="B226" t="s">
        <v>267</v>
      </c>
      <c r="C226" t="s">
        <v>373</v>
      </c>
      <c r="D226" t="s">
        <v>359</v>
      </c>
      <c r="E226" t="s">
        <v>374</v>
      </c>
      <c r="G226">
        <v>0.2</v>
      </c>
      <c r="M226">
        <v>1</v>
      </c>
      <c r="N226">
        <f t="shared" si="30"/>
        <v>0</v>
      </c>
      <c r="O226">
        <f t="shared" si="31"/>
        <v>1.2</v>
      </c>
      <c r="Q226">
        <v>1.2</v>
      </c>
      <c r="AB226">
        <f t="shared" si="32"/>
        <v>0</v>
      </c>
      <c r="AC226">
        <f t="shared" si="33"/>
        <v>1.2</v>
      </c>
      <c r="AH226">
        <f t="shared" si="34"/>
        <v>0</v>
      </c>
      <c r="AI226">
        <f t="shared" si="35"/>
        <v>0</v>
      </c>
      <c r="AN226">
        <f t="shared" si="36"/>
        <v>0</v>
      </c>
      <c r="AO226">
        <f t="shared" si="37"/>
        <v>0</v>
      </c>
      <c r="AP226">
        <f t="shared" si="38"/>
        <v>0</v>
      </c>
      <c r="AQ226">
        <f t="shared" si="39"/>
        <v>2.4</v>
      </c>
    </row>
    <row r="227" spans="1:43" x14ac:dyDescent="0.2">
      <c r="A227">
        <v>3627310</v>
      </c>
      <c r="B227" t="s">
        <v>267</v>
      </c>
      <c r="C227" t="s">
        <v>283</v>
      </c>
      <c r="D227" t="s">
        <v>72</v>
      </c>
      <c r="E227" t="s">
        <v>375</v>
      </c>
      <c r="N227">
        <f t="shared" si="30"/>
        <v>0</v>
      </c>
      <c r="O227">
        <f t="shared" si="31"/>
        <v>0</v>
      </c>
      <c r="AB227">
        <f t="shared" si="32"/>
        <v>0</v>
      </c>
      <c r="AC227">
        <f t="shared" si="33"/>
        <v>0</v>
      </c>
      <c r="AH227">
        <f t="shared" si="34"/>
        <v>0</v>
      </c>
      <c r="AI227">
        <f t="shared" si="35"/>
        <v>0</v>
      </c>
      <c r="AN227">
        <f t="shared" si="36"/>
        <v>0</v>
      </c>
      <c r="AO227">
        <f t="shared" si="37"/>
        <v>0</v>
      </c>
      <c r="AP227">
        <f t="shared" si="38"/>
        <v>0</v>
      </c>
      <c r="AQ227">
        <f t="shared" si="39"/>
        <v>0</v>
      </c>
    </row>
    <row r="228" spans="1:43" x14ac:dyDescent="0.2">
      <c r="A228">
        <v>2593928</v>
      </c>
      <c r="B228" t="s">
        <v>267</v>
      </c>
      <c r="C228" t="s">
        <v>283</v>
      </c>
      <c r="D228" t="s">
        <v>376</v>
      </c>
      <c r="E228" t="s">
        <v>377</v>
      </c>
      <c r="G228">
        <v>0.2</v>
      </c>
      <c r="N228">
        <f t="shared" si="30"/>
        <v>0</v>
      </c>
      <c r="O228">
        <f t="shared" si="31"/>
        <v>0.2</v>
      </c>
      <c r="AB228">
        <f t="shared" si="32"/>
        <v>0</v>
      </c>
      <c r="AC228">
        <f t="shared" si="33"/>
        <v>0</v>
      </c>
      <c r="AH228">
        <f t="shared" si="34"/>
        <v>0</v>
      </c>
      <c r="AI228">
        <f t="shared" si="35"/>
        <v>0</v>
      </c>
      <c r="AN228">
        <f t="shared" si="36"/>
        <v>0</v>
      </c>
      <c r="AO228">
        <f t="shared" si="37"/>
        <v>0</v>
      </c>
      <c r="AP228">
        <f t="shared" si="38"/>
        <v>0</v>
      </c>
      <c r="AQ228">
        <f t="shared" si="39"/>
        <v>0.2</v>
      </c>
    </row>
    <row r="229" spans="1:43" x14ac:dyDescent="0.2">
      <c r="A229">
        <v>2392250</v>
      </c>
      <c r="B229" t="s">
        <v>267</v>
      </c>
      <c r="C229" t="s">
        <v>278</v>
      </c>
      <c r="D229" t="s">
        <v>80</v>
      </c>
      <c r="E229" t="s">
        <v>378</v>
      </c>
      <c r="G229">
        <v>0.7</v>
      </c>
      <c r="N229">
        <f t="shared" si="30"/>
        <v>0</v>
      </c>
      <c r="O229">
        <f t="shared" si="31"/>
        <v>0.7</v>
      </c>
      <c r="AB229">
        <f t="shared" si="32"/>
        <v>0</v>
      </c>
      <c r="AC229">
        <f t="shared" si="33"/>
        <v>0</v>
      </c>
      <c r="AH229">
        <f t="shared" si="34"/>
        <v>0</v>
      </c>
      <c r="AI229">
        <f t="shared" si="35"/>
        <v>0</v>
      </c>
      <c r="AN229">
        <f t="shared" si="36"/>
        <v>0</v>
      </c>
      <c r="AO229">
        <f t="shared" si="37"/>
        <v>0</v>
      </c>
      <c r="AP229">
        <f t="shared" si="38"/>
        <v>0</v>
      </c>
      <c r="AQ229">
        <f t="shared" si="39"/>
        <v>0.7</v>
      </c>
    </row>
    <row r="230" spans="1:43" x14ac:dyDescent="0.2">
      <c r="A230">
        <v>4294957</v>
      </c>
      <c r="B230" t="s">
        <v>267</v>
      </c>
      <c r="C230" t="s">
        <v>274</v>
      </c>
      <c r="D230" t="s">
        <v>379</v>
      </c>
      <c r="E230" t="s">
        <v>380</v>
      </c>
      <c r="G230">
        <v>0.5</v>
      </c>
      <c r="N230">
        <f t="shared" si="30"/>
        <v>0</v>
      </c>
      <c r="O230">
        <f t="shared" si="31"/>
        <v>0.5</v>
      </c>
      <c r="Q230">
        <v>1.6</v>
      </c>
      <c r="AB230">
        <f t="shared" si="32"/>
        <v>0</v>
      </c>
      <c r="AC230">
        <f t="shared" si="33"/>
        <v>1.6</v>
      </c>
      <c r="AH230">
        <f t="shared" si="34"/>
        <v>0</v>
      </c>
      <c r="AI230">
        <f t="shared" si="35"/>
        <v>0</v>
      </c>
      <c r="AN230">
        <f t="shared" si="36"/>
        <v>0</v>
      </c>
      <c r="AO230">
        <f t="shared" si="37"/>
        <v>0</v>
      </c>
      <c r="AP230">
        <f t="shared" si="38"/>
        <v>0</v>
      </c>
      <c r="AQ230">
        <f t="shared" si="39"/>
        <v>2.1</v>
      </c>
    </row>
    <row r="231" spans="1:43" x14ac:dyDescent="0.2">
      <c r="A231">
        <v>329509</v>
      </c>
      <c r="B231" t="s">
        <v>267</v>
      </c>
      <c r="C231" t="s">
        <v>177</v>
      </c>
      <c r="D231" t="s">
        <v>72</v>
      </c>
      <c r="E231" t="s">
        <v>381</v>
      </c>
      <c r="G231">
        <v>1.6</v>
      </c>
      <c r="M231">
        <v>4</v>
      </c>
      <c r="N231">
        <f t="shared" si="30"/>
        <v>0</v>
      </c>
      <c r="O231">
        <f t="shared" si="31"/>
        <v>5.6</v>
      </c>
      <c r="AB231">
        <f t="shared" si="32"/>
        <v>0</v>
      </c>
      <c r="AC231">
        <f t="shared" si="33"/>
        <v>0</v>
      </c>
      <c r="AH231">
        <f t="shared" si="34"/>
        <v>0</v>
      </c>
      <c r="AI231">
        <f t="shared" si="35"/>
        <v>0</v>
      </c>
      <c r="AN231">
        <f t="shared" si="36"/>
        <v>0</v>
      </c>
      <c r="AO231">
        <f t="shared" si="37"/>
        <v>0</v>
      </c>
      <c r="AP231">
        <f t="shared" si="38"/>
        <v>0</v>
      </c>
      <c r="AQ231">
        <f t="shared" si="39"/>
        <v>5.6</v>
      </c>
    </row>
    <row r="232" spans="1:43" x14ac:dyDescent="0.2">
      <c r="A232">
        <v>362213</v>
      </c>
      <c r="B232" t="s">
        <v>267</v>
      </c>
      <c r="C232" t="s">
        <v>283</v>
      </c>
      <c r="D232" t="s">
        <v>72</v>
      </c>
      <c r="E232" t="s">
        <v>382</v>
      </c>
      <c r="G232">
        <v>0.2</v>
      </c>
      <c r="N232">
        <f t="shared" si="30"/>
        <v>0</v>
      </c>
      <c r="O232">
        <f t="shared" si="31"/>
        <v>0.2</v>
      </c>
      <c r="AB232">
        <f t="shared" si="32"/>
        <v>0</v>
      </c>
      <c r="AC232">
        <f t="shared" si="33"/>
        <v>0</v>
      </c>
      <c r="AH232">
        <f t="shared" si="34"/>
        <v>0</v>
      </c>
      <c r="AI232">
        <f t="shared" si="35"/>
        <v>0</v>
      </c>
      <c r="AN232">
        <f t="shared" si="36"/>
        <v>0</v>
      </c>
      <c r="AO232">
        <f t="shared" si="37"/>
        <v>0</v>
      </c>
      <c r="AP232">
        <f t="shared" si="38"/>
        <v>0</v>
      </c>
      <c r="AQ232">
        <f t="shared" si="39"/>
        <v>0.2</v>
      </c>
    </row>
    <row r="233" spans="1:43" x14ac:dyDescent="0.2">
      <c r="A233">
        <v>2181328</v>
      </c>
      <c r="B233" t="s">
        <v>267</v>
      </c>
      <c r="C233" t="s">
        <v>298</v>
      </c>
      <c r="D233" t="s">
        <v>72</v>
      </c>
      <c r="E233" t="s">
        <v>383</v>
      </c>
      <c r="G233">
        <v>1</v>
      </c>
      <c r="M233">
        <v>3</v>
      </c>
      <c r="N233">
        <f t="shared" si="30"/>
        <v>0</v>
      </c>
      <c r="O233">
        <f t="shared" si="31"/>
        <v>4</v>
      </c>
      <c r="Q233">
        <v>3.3</v>
      </c>
      <c r="AB233">
        <f t="shared" si="32"/>
        <v>0</v>
      </c>
      <c r="AC233">
        <f t="shared" si="33"/>
        <v>3.3</v>
      </c>
      <c r="AH233">
        <f t="shared" si="34"/>
        <v>0</v>
      </c>
      <c r="AI233">
        <f t="shared" si="35"/>
        <v>0</v>
      </c>
      <c r="AM233">
        <v>2.9</v>
      </c>
      <c r="AN233">
        <f t="shared" si="36"/>
        <v>0</v>
      </c>
      <c r="AO233">
        <f t="shared" si="37"/>
        <v>2.9</v>
      </c>
      <c r="AP233">
        <f t="shared" si="38"/>
        <v>0</v>
      </c>
      <c r="AQ233">
        <f t="shared" si="39"/>
        <v>10.199999999999999</v>
      </c>
    </row>
    <row r="234" spans="1:43" x14ac:dyDescent="0.2">
      <c r="A234">
        <v>4868151</v>
      </c>
      <c r="B234" t="s">
        <v>267</v>
      </c>
      <c r="C234" t="s">
        <v>298</v>
      </c>
      <c r="D234" t="s">
        <v>72</v>
      </c>
      <c r="E234" t="s">
        <v>384</v>
      </c>
      <c r="G234">
        <v>0.9</v>
      </c>
      <c r="N234">
        <f t="shared" si="30"/>
        <v>0</v>
      </c>
      <c r="O234">
        <f t="shared" si="31"/>
        <v>0.9</v>
      </c>
      <c r="Q234">
        <v>1</v>
      </c>
      <c r="AB234">
        <f t="shared" si="32"/>
        <v>0</v>
      </c>
      <c r="AC234">
        <f t="shared" si="33"/>
        <v>1</v>
      </c>
      <c r="AH234">
        <f t="shared" si="34"/>
        <v>0</v>
      </c>
      <c r="AI234">
        <f t="shared" si="35"/>
        <v>0</v>
      </c>
      <c r="AN234">
        <f t="shared" si="36"/>
        <v>0</v>
      </c>
      <c r="AO234">
        <f t="shared" si="37"/>
        <v>0</v>
      </c>
      <c r="AP234">
        <f t="shared" si="38"/>
        <v>0</v>
      </c>
      <c r="AQ234">
        <f t="shared" si="39"/>
        <v>1.9</v>
      </c>
    </row>
    <row r="235" spans="1:43" x14ac:dyDescent="0.2">
      <c r="A235">
        <v>1329292</v>
      </c>
      <c r="B235" t="s">
        <v>267</v>
      </c>
      <c r="C235" t="s">
        <v>177</v>
      </c>
      <c r="D235" t="s">
        <v>72</v>
      </c>
      <c r="E235" t="s">
        <v>385</v>
      </c>
      <c r="G235">
        <v>0.4</v>
      </c>
      <c r="M235">
        <v>6</v>
      </c>
      <c r="N235">
        <f t="shared" si="30"/>
        <v>0</v>
      </c>
      <c r="O235">
        <f t="shared" si="31"/>
        <v>6.4</v>
      </c>
      <c r="AB235">
        <f t="shared" si="32"/>
        <v>0</v>
      </c>
      <c r="AC235">
        <f t="shared" si="33"/>
        <v>0</v>
      </c>
      <c r="AH235">
        <f t="shared" si="34"/>
        <v>0</v>
      </c>
      <c r="AI235">
        <f t="shared" si="35"/>
        <v>0</v>
      </c>
      <c r="AN235">
        <f t="shared" si="36"/>
        <v>0</v>
      </c>
      <c r="AO235">
        <f t="shared" si="37"/>
        <v>0</v>
      </c>
      <c r="AP235">
        <f t="shared" si="38"/>
        <v>0</v>
      </c>
      <c r="AQ235">
        <f t="shared" si="39"/>
        <v>6.4</v>
      </c>
    </row>
    <row r="236" spans="1:43" x14ac:dyDescent="0.2">
      <c r="A236">
        <v>227592</v>
      </c>
      <c r="B236" t="s">
        <v>267</v>
      </c>
      <c r="C236" t="s">
        <v>298</v>
      </c>
      <c r="D236" t="s">
        <v>72</v>
      </c>
      <c r="E236" t="s">
        <v>386</v>
      </c>
      <c r="G236">
        <v>0.5</v>
      </c>
      <c r="N236">
        <f t="shared" si="30"/>
        <v>0</v>
      </c>
      <c r="O236">
        <f t="shared" si="31"/>
        <v>0.5</v>
      </c>
      <c r="AB236">
        <f t="shared" si="32"/>
        <v>0</v>
      </c>
      <c r="AC236">
        <f t="shared" si="33"/>
        <v>0</v>
      </c>
      <c r="AH236">
        <f t="shared" si="34"/>
        <v>0</v>
      </c>
      <c r="AI236">
        <f t="shared" si="35"/>
        <v>0</v>
      </c>
      <c r="AN236">
        <f t="shared" si="36"/>
        <v>0</v>
      </c>
      <c r="AO236">
        <f t="shared" si="37"/>
        <v>0</v>
      </c>
      <c r="AP236">
        <f t="shared" si="38"/>
        <v>0</v>
      </c>
      <c r="AQ236">
        <f t="shared" si="39"/>
        <v>0.5</v>
      </c>
    </row>
    <row r="237" spans="1:43" x14ac:dyDescent="0.2">
      <c r="A237">
        <v>7750548</v>
      </c>
      <c r="B237" t="s">
        <v>267</v>
      </c>
      <c r="C237" t="s">
        <v>298</v>
      </c>
      <c r="D237" t="s">
        <v>72</v>
      </c>
      <c r="E237" t="s">
        <v>387</v>
      </c>
      <c r="G237">
        <v>1</v>
      </c>
      <c r="N237">
        <f t="shared" si="30"/>
        <v>0</v>
      </c>
      <c r="O237">
        <f t="shared" si="31"/>
        <v>1</v>
      </c>
      <c r="AB237">
        <f t="shared" si="32"/>
        <v>0</v>
      </c>
      <c r="AC237">
        <f t="shared" si="33"/>
        <v>0</v>
      </c>
      <c r="AH237">
        <f t="shared" si="34"/>
        <v>0</v>
      </c>
      <c r="AI237">
        <f t="shared" si="35"/>
        <v>0</v>
      </c>
      <c r="AN237">
        <f t="shared" si="36"/>
        <v>0</v>
      </c>
      <c r="AO237">
        <f t="shared" si="37"/>
        <v>0</v>
      </c>
      <c r="AP237">
        <f t="shared" si="38"/>
        <v>0</v>
      </c>
      <c r="AQ237">
        <f t="shared" si="39"/>
        <v>1</v>
      </c>
    </row>
    <row r="238" spans="1:43" x14ac:dyDescent="0.2">
      <c r="A238">
        <v>8582365</v>
      </c>
      <c r="B238" t="s">
        <v>267</v>
      </c>
      <c r="C238" t="s">
        <v>298</v>
      </c>
      <c r="D238" t="s">
        <v>72</v>
      </c>
      <c r="E238" t="s">
        <v>388</v>
      </c>
      <c r="G238">
        <v>0.6</v>
      </c>
      <c r="N238">
        <f t="shared" si="30"/>
        <v>0</v>
      </c>
      <c r="O238">
        <f t="shared" si="31"/>
        <v>0.6</v>
      </c>
      <c r="AB238">
        <f t="shared" si="32"/>
        <v>0</v>
      </c>
      <c r="AC238">
        <f t="shared" si="33"/>
        <v>0</v>
      </c>
      <c r="AH238">
        <f t="shared" si="34"/>
        <v>0</v>
      </c>
      <c r="AI238">
        <f t="shared" si="35"/>
        <v>0</v>
      </c>
      <c r="AN238">
        <f t="shared" si="36"/>
        <v>0</v>
      </c>
      <c r="AO238">
        <f t="shared" si="37"/>
        <v>0</v>
      </c>
      <c r="AP238">
        <f t="shared" si="38"/>
        <v>0</v>
      </c>
      <c r="AQ238">
        <f t="shared" si="39"/>
        <v>0.6</v>
      </c>
    </row>
    <row r="239" spans="1:43" x14ac:dyDescent="0.2">
      <c r="A239">
        <v>8582375</v>
      </c>
      <c r="B239" t="s">
        <v>267</v>
      </c>
      <c r="C239" t="s">
        <v>177</v>
      </c>
      <c r="D239" t="s">
        <v>53</v>
      </c>
      <c r="E239" t="s">
        <v>389</v>
      </c>
      <c r="G239">
        <v>0.4</v>
      </c>
      <c r="M239">
        <v>11</v>
      </c>
      <c r="N239">
        <f t="shared" si="30"/>
        <v>0</v>
      </c>
      <c r="O239">
        <f t="shared" si="31"/>
        <v>11.4</v>
      </c>
      <c r="Q239">
        <v>1.8</v>
      </c>
      <c r="AB239">
        <f t="shared" si="32"/>
        <v>0</v>
      </c>
      <c r="AC239">
        <f t="shared" si="33"/>
        <v>1.8</v>
      </c>
      <c r="AH239">
        <f t="shared" si="34"/>
        <v>0</v>
      </c>
      <c r="AI239">
        <f t="shared" si="35"/>
        <v>0</v>
      </c>
      <c r="AM239">
        <v>6.4</v>
      </c>
      <c r="AN239">
        <f t="shared" si="36"/>
        <v>0</v>
      </c>
      <c r="AO239">
        <f t="shared" si="37"/>
        <v>6.4</v>
      </c>
      <c r="AP239">
        <f t="shared" si="38"/>
        <v>0</v>
      </c>
      <c r="AQ239">
        <f t="shared" si="39"/>
        <v>19.600000000000001</v>
      </c>
    </row>
    <row r="240" spans="1:43" x14ac:dyDescent="0.2">
      <c r="A240">
        <v>4641149</v>
      </c>
      <c r="B240" t="s">
        <v>267</v>
      </c>
      <c r="C240" t="s">
        <v>283</v>
      </c>
      <c r="D240" t="s">
        <v>53</v>
      </c>
      <c r="E240" t="s">
        <v>390</v>
      </c>
      <c r="G240">
        <v>0.4</v>
      </c>
      <c r="M240">
        <v>1</v>
      </c>
      <c r="N240">
        <f t="shared" si="30"/>
        <v>0</v>
      </c>
      <c r="O240">
        <f t="shared" si="31"/>
        <v>1.4</v>
      </c>
      <c r="AB240">
        <f t="shared" si="32"/>
        <v>0</v>
      </c>
      <c r="AC240">
        <f t="shared" si="33"/>
        <v>0</v>
      </c>
      <c r="AH240">
        <f t="shared" si="34"/>
        <v>0</v>
      </c>
      <c r="AI240">
        <f t="shared" si="35"/>
        <v>0</v>
      </c>
      <c r="AM240">
        <v>2.6</v>
      </c>
      <c r="AN240">
        <f t="shared" si="36"/>
        <v>0</v>
      </c>
      <c r="AO240">
        <f t="shared" si="37"/>
        <v>2.6</v>
      </c>
      <c r="AP240">
        <f t="shared" si="38"/>
        <v>0</v>
      </c>
      <c r="AQ240">
        <f t="shared" si="39"/>
        <v>4</v>
      </c>
    </row>
    <row r="241" spans="1:43" x14ac:dyDescent="0.2">
      <c r="A241">
        <v>8012448</v>
      </c>
      <c r="B241" t="s">
        <v>267</v>
      </c>
      <c r="C241" t="s">
        <v>283</v>
      </c>
      <c r="D241" t="s">
        <v>293</v>
      </c>
      <c r="E241" t="s">
        <v>391</v>
      </c>
      <c r="G241">
        <v>2.2000000000000002</v>
      </c>
      <c r="M241">
        <v>2</v>
      </c>
      <c r="N241">
        <f t="shared" si="30"/>
        <v>0</v>
      </c>
      <c r="O241">
        <f t="shared" si="31"/>
        <v>4.2</v>
      </c>
      <c r="Q241">
        <v>1.2</v>
      </c>
      <c r="AB241">
        <f t="shared" si="32"/>
        <v>0</v>
      </c>
      <c r="AC241">
        <f t="shared" si="33"/>
        <v>1.2</v>
      </c>
      <c r="AE241">
        <v>1</v>
      </c>
      <c r="AH241">
        <f t="shared" si="34"/>
        <v>0</v>
      </c>
      <c r="AI241">
        <f t="shared" si="35"/>
        <v>1</v>
      </c>
      <c r="AM241">
        <v>5.5</v>
      </c>
      <c r="AN241">
        <f t="shared" si="36"/>
        <v>0</v>
      </c>
      <c r="AO241">
        <f t="shared" si="37"/>
        <v>5.5</v>
      </c>
      <c r="AP241">
        <f t="shared" si="38"/>
        <v>0</v>
      </c>
      <c r="AQ241">
        <f t="shared" si="39"/>
        <v>11.9</v>
      </c>
    </row>
    <row r="242" spans="1:43" x14ac:dyDescent="0.2">
      <c r="A242">
        <v>9337524</v>
      </c>
      <c r="B242" t="s">
        <v>267</v>
      </c>
      <c r="C242" t="s">
        <v>317</v>
      </c>
      <c r="D242" t="s">
        <v>72</v>
      </c>
      <c r="E242" t="s">
        <v>392</v>
      </c>
      <c r="G242">
        <v>0.3</v>
      </c>
      <c r="M242">
        <v>1</v>
      </c>
      <c r="N242">
        <f t="shared" si="30"/>
        <v>0</v>
      </c>
      <c r="O242">
        <f t="shared" si="31"/>
        <v>1.3</v>
      </c>
      <c r="AB242">
        <f t="shared" si="32"/>
        <v>0</v>
      </c>
      <c r="AC242">
        <f t="shared" si="33"/>
        <v>0</v>
      </c>
      <c r="AH242">
        <f t="shared" si="34"/>
        <v>0</v>
      </c>
      <c r="AI242">
        <f t="shared" si="35"/>
        <v>0</v>
      </c>
      <c r="AN242">
        <f t="shared" si="36"/>
        <v>0</v>
      </c>
      <c r="AO242">
        <f t="shared" si="37"/>
        <v>0</v>
      </c>
      <c r="AP242">
        <f t="shared" si="38"/>
        <v>0</v>
      </c>
      <c r="AQ242">
        <f t="shared" si="39"/>
        <v>1.3</v>
      </c>
    </row>
    <row r="243" spans="1:43" x14ac:dyDescent="0.2">
      <c r="A243">
        <v>6622296</v>
      </c>
      <c r="B243" t="s">
        <v>267</v>
      </c>
      <c r="C243" t="s">
        <v>373</v>
      </c>
      <c r="D243" t="s">
        <v>359</v>
      </c>
      <c r="E243" t="s">
        <v>393</v>
      </c>
      <c r="G243">
        <v>0.8</v>
      </c>
      <c r="M243">
        <v>1</v>
      </c>
      <c r="N243">
        <f t="shared" si="30"/>
        <v>0</v>
      </c>
      <c r="O243">
        <f t="shared" si="31"/>
        <v>1.8</v>
      </c>
      <c r="AB243">
        <f t="shared" si="32"/>
        <v>0</v>
      </c>
      <c r="AC243">
        <f t="shared" si="33"/>
        <v>0</v>
      </c>
      <c r="AH243">
        <f t="shared" si="34"/>
        <v>0</v>
      </c>
      <c r="AI243">
        <f t="shared" si="35"/>
        <v>0</v>
      </c>
      <c r="AM243">
        <v>7.8</v>
      </c>
      <c r="AN243">
        <f t="shared" si="36"/>
        <v>0</v>
      </c>
      <c r="AO243">
        <f t="shared" si="37"/>
        <v>7.8</v>
      </c>
      <c r="AP243">
        <f t="shared" si="38"/>
        <v>0</v>
      </c>
      <c r="AQ243">
        <f t="shared" si="39"/>
        <v>9.6</v>
      </c>
    </row>
    <row r="244" spans="1:43" x14ac:dyDescent="0.2">
      <c r="A244">
        <v>8141849</v>
      </c>
      <c r="B244" t="s">
        <v>267</v>
      </c>
      <c r="C244" t="s">
        <v>296</v>
      </c>
      <c r="D244" t="s">
        <v>72</v>
      </c>
      <c r="E244" t="s">
        <v>394</v>
      </c>
      <c r="G244">
        <v>0.7</v>
      </c>
      <c r="M244">
        <v>2</v>
      </c>
      <c r="N244">
        <f t="shared" si="30"/>
        <v>0</v>
      </c>
      <c r="O244">
        <f t="shared" si="31"/>
        <v>2.7</v>
      </c>
      <c r="Q244">
        <v>0.2</v>
      </c>
      <c r="AB244">
        <f t="shared" si="32"/>
        <v>0</v>
      </c>
      <c r="AC244">
        <f t="shared" si="33"/>
        <v>0.2</v>
      </c>
      <c r="AH244">
        <f t="shared" si="34"/>
        <v>0</v>
      </c>
      <c r="AI244">
        <f t="shared" si="35"/>
        <v>0</v>
      </c>
      <c r="AN244">
        <f t="shared" si="36"/>
        <v>0</v>
      </c>
      <c r="AO244">
        <f t="shared" si="37"/>
        <v>0</v>
      </c>
      <c r="AP244">
        <f t="shared" si="38"/>
        <v>0</v>
      </c>
      <c r="AQ244">
        <f t="shared" si="39"/>
        <v>2.9000000000000004</v>
      </c>
    </row>
    <row r="245" spans="1:43" x14ac:dyDescent="0.2">
      <c r="A245">
        <v>3058354</v>
      </c>
      <c r="B245" t="s">
        <v>267</v>
      </c>
      <c r="C245" t="s">
        <v>296</v>
      </c>
      <c r="D245" t="s">
        <v>53</v>
      </c>
      <c r="E245" t="s">
        <v>395</v>
      </c>
      <c r="G245">
        <v>0.1</v>
      </c>
      <c r="M245">
        <v>1</v>
      </c>
      <c r="N245">
        <f t="shared" si="30"/>
        <v>0</v>
      </c>
      <c r="O245">
        <f t="shared" si="31"/>
        <v>1.1000000000000001</v>
      </c>
      <c r="AB245">
        <f t="shared" si="32"/>
        <v>0</v>
      </c>
      <c r="AC245">
        <f t="shared" si="33"/>
        <v>0</v>
      </c>
      <c r="AH245">
        <f t="shared" si="34"/>
        <v>0</v>
      </c>
      <c r="AI245">
        <f t="shared" si="35"/>
        <v>0</v>
      </c>
      <c r="AN245">
        <f t="shared" si="36"/>
        <v>0</v>
      </c>
      <c r="AO245">
        <f t="shared" si="37"/>
        <v>0</v>
      </c>
      <c r="AP245">
        <f t="shared" si="38"/>
        <v>0</v>
      </c>
      <c r="AQ245">
        <f t="shared" si="39"/>
        <v>1.1000000000000001</v>
      </c>
    </row>
    <row r="246" spans="1:43" x14ac:dyDescent="0.2">
      <c r="A246">
        <v>4044991</v>
      </c>
      <c r="B246" t="s">
        <v>267</v>
      </c>
      <c r="C246" t="s">
        <v>283</v>
      </c>
      <c r="D246" t="s">
        <v>72</v>
      </c>
      <c r="E246" t="s">
        <v>396</v>
      </c>
      <c r="G246">
        <v>0.5</v>
      </c>
      <c r="N246">
        <f t="shared" si="30"/>
        <v>0</v>
      </c>
      <c r="O246">
        <f t="shared" si="31"/>
        <v>0.5</v>
      </c>
      <c r="AB246">
        <f t="shared" si="32"/>
        <v>0</v>
      </c>
      <c r="AC246">
        <f t="shared" si="33"/>
        <v>0</v>
      </c>
      <c r="AH246">
        <f t="shared" si="34"/>
        <v>0</v>
      </c>
      <c r="AI246">
        <f t="shared" si="35"/>
        <v>0</v>
      </c>
      <c r="AN246">
        <f t="shared" si="36"/>
        <v>0</v>
      </c>
      <c r="AO246">
        <f t="shared" si="37"/>
        <v>0</v>
      </c>
      <c r="AP246">
        <f t="shared" si="38"/>
        <v>0</v>
      </c>
      <c r="AQ246">
        <f t="shared" si="39"/>
        <v>0.5</v>
      </c>
    </row>
    <row r="247" spans="1:43" x14ac:dyDescent="0.2">
      <c r="A247">
        <v>9337543</v>
      </c>
      <c r="B247" t="s">
        <v>267</v>
      </c>
      <c r="C247" t="s">
        <v>177</v>
      </c>
      <c r="D247" t="s">
        <v>72</v>
      </c>
      <c r="E247" t="s">
        <v>397</v>
      </c>
      <c r="G247">
        <v>0.9</v>
      </c>
      <c r="M247">
        <v>1</v>
      </c>
      <c r="N247">
        <f t="shared" si="30"/>
        <v>0</v>
      </c>
      <c r="O247">
        <f t="shared" si="31"/>
        <v>1.9</v>
      </c>
      <c r="Q247">
        <v>3.6</v>
      </c>
      <c r="AB247">
        <f t="shared" si="32"/>
        <v>0</v>
      </c>
      <c r="AC247">
        <f t="shared" si="33"/>
        <v>3.6</v>
      </c>
      <c r="AH247">
        <f t="shared" si="34"/>
        <v>0</v>
      </c>
      <c r="AI247">
        <f t="shared" si="35"/>
        <v>0</v>
      </c>
      <c r="AN247">
        <f t="shared" si="36"/>
        <v>0</v>
      </c>
      <c r="AO247">
        <f t="shared" si="37"/>
        <v>0</v>
      </c>
      <c r="AP247">
        <f t="shared" si="38"/>
        <v>0</v>
      </c>
      <c r="AQ247">
        <f t="shared" si="39"/>
        <v>5.5</v>
      </c>
    </row>
    <row r="248" spans="1:43" x14ac:dyDescent="0.2">
      <c r="A248">
        <v>8582556</v>
      </c>
      <c r="B248" t="s">
        <v>267</v>
      </c>
      <c r="C248" t="s">
        <v>296</v>
      </c>
      <c r="D248" t="s">
        <v>72</v>
      </c>
      <c r="E248" t="s">
        <v>398</v>
      </c>
      <c r="N248">
        <f t="shared" si="30"/>
        <v>0</v>
      </c>
      <c r="O248">
        <f t="shared" si="31"/>
        <v>0</v>
      </c>
      <c r="AB248">
        <f t="shared" si="32"/>
        <v>0</v>
      </c>
      <c r="AC248">
        <f t="shared" si="33"/>
        <v>0</v>
      </c>
      <c r="AH248">
        <f t="shared" si="34"/>
        <v>0</v>
      </c>
      <c r="AI248">
        <f t="shared" si="35"/>
        <v>0</v>
      </c>
      <c r="AN248">
        <f t="shared" si="36"/>
        <v>0</v>
      </c>
      <c r="AO248">
        <f t="shared" si="37"/>
        <v>0</v>
      </c>
      <c r="AP248">
        <f t="shared" si="38"/>
        <v>0</v>
      </c>
      <c r="AQ248">
        <f t="shared" si="39"/>
        <v>0</v>
      </c>
    </row>
    <row r="249" spans="1:43" x14ac:dyDescent="0.2">
      <c r="A249">
        <v>4821141</v>
      </c>
      <c r="B249" t="s">
        <v>267</v>
      </c>
      <c r="C249" t="s">
        <v>289</v>
      </c>
      <c r="D249" t="s">
        <v>72</v>
      </c>
      <c r="E249" t="s">
        <v>399</v>
      </c>
      <c r="G249">
        <v>0.6</v>
      </c>
      <c r="N249">
        <f t="shared" si="30"/>
        <v>0</v>
      </c>
      <c r="O249">
        <f t="shared" si="31"/>
        <v>0.6</v>
      </c>
      <c r="AB249">
        <f t="shared" si="32"/>
        <v>0</v>
      </c>
      <c r="AC249">
        <f t="shared" si="33"/>
        <v>0</v>
      </c>
      <c r="AH249">
        <f t="shared" si="34"/>
        <v>0</v>
      </c>
      <c r="AI249">
        <f t="shared" si="35"/>
        <v>0</v>
      </c>
      <c r="AN249">
        <f t="shared" si="36"/>
        <v>0</v>
      </c>
      <c r="AO249">
        <f t="shared" si="37"/>
        <v>0</v>
      </c>
      <c r="AP249">
        <f t="shared" si="38"/>
        <v>0</v>
      </c>
      <c r="AQ249">
        <f t="shared" si="39"/>
        <v>0.6</v>
      </c>
    </row>
    <row r="250" spans="1:43" x14ac:dyDescent="0.2">
      <c r="B250" t="s">
        <v>267</v>
      </c>
      <c r="C250" t="s">
        <v>283</v>
      </c>
      <c r="D250" t="s">
        <v>72</v>
      </c>
      <c r="E250" t="s">
        <v>400</v>
      </c>
      <c r="G250">
        <v>0.8</v>
      </c>
      <c r="N250">
        <f t="shared" si="30"/>
        <v>0</v>
      </c>
      <c r="O250">
        <f t="shared" si="31"/>
        <v>0.8</v>
      </c>
      <c r="AB250">
        <f t="shared" si="32"/>
        <v>0</v>
      </c>
      <c r="AC250">
        <f t="shared" si="33"/>
        <v>0</v>
      </c>
      <c r="AH250">
        <f t="shared" si="34"/>
        <v>0</v>
      </c>
      <c r="AI250">
        <f t="shared" si="35"/>
        <v>0</v>
      </c>
      <c r="AN250">
        <f t="shared" si="36"/>
        <v>0</v>
      </c>
      <c r="AO250">
        <f t="shared" si="37"/>
        <v>0</v>
      </c>
      <c r="AP250">
        <f t="shared" si="38"/>
        <v>0</v>
      </c>
      <c r="AQ250">
        <f t="shared" si="39"/>
        <v>0.8</v>
      </c>
    </row>
    <row r="251" spans="1:43" x14ac:dyDescent="0.2">
      <c r="A251">
        <v>8582568</v>
      </c>
      <c r="B251" t="s">
        <v>267</v>
      </c>
      <c r="C251" t="s">
        <v>278</v>
      </c>
      <c r="D251" t="s">
        <v>53</v>
      </c>
      <c r="E251" t="s">
        <v>401</v>
      </c>
      <c r="N251">
        <f t="shared" si="30"/>
        <v>0</v>
      </c>
      <c r="O251">
        <f t="shared" si="31"/>
        <v>0</v>
      </c>
      <c r="AB251">
        <f t="shared" si="32"/>
        <v>0</v>
      </c>
      <c r="AC251">
        <f t="shared" si="33"/>
        <v>0</v>
      </c>
      <c r="AH251">
        <f t="shared" si="34"/>
        <v>0</v>
      </c>
      <c r="AI251">
        <f t="shared" si="35"/>
        <v>0</v>
      </c>
      <c r="AN251">
        <f t="shared" si="36"/>
        <v>0</v>
      </c>
      <c r="AO251">
        <f t="shared" si="37"/>
        <v>0</v>
      </c>
      <c r="AP251">
        <f t="shared" si="38"/>
        <v>0</v>
      </c>
      <c r="AQ251">
        <f t="shared" si="39"/>
        <v>0</v>
      </c>
    </row>
    <row r="252" spans="1:43" x14ac:dyDescent="0.2">
      <c r="A252">
        <v>6612366</v>
      </c>
      <c r="B252" t="s">
        <v>267</v>
      </c>
      <c r="C252" t="s">
        <v>283</v>
      </c>
      <c r="D252" t="s">
        <v>72</v>
      </c>
      <c r="E252" t="s">
        <v>402</v>
      </c>
      <c r="G252">
        <v>0.4</v>
      </c>
      <c r="M252">
        <v>2</v>
      </c>
      <c r="N252">
        <f t="shared" si="30"/>
        <v>0</v>
      </c>
      <c r="O252">
        <f t="shared" si="31"/>
        <v>2.4</v>
      </c>
      <c r="AB252">
        <f t="shared" si="32"/>
        <v>0</v>
      </c>
      <c r="AC252">
        <f t="shared" si="33"/>
        <v>0</v>
      </c>
      <c r="AH252">
        <f t="shared" si="34"/>
        <v>0</v>
      </c>
      <c r="AI252">
        <f t="shared" si="35"/>
        <v>0</v>
      </c>
      <c r="AN252">
        <f t="shared" si="36"/>
        <v>0</v>
      </c>
      <c r="AO252">
        <f t="shared" si="37"/>
        <v>0</v>
      </c>
      <c r="AP252">
        <f t="shared" si="38"/>
        <v>0</v>
      </c>
      <c r="AQ252">
        <f t="shared" si="39"/>
        <v>2.4</v>
      </c>
    </row>
    <row r="253" spans="1:43" x14ac:dyDescent="0.2">
      <c r="A253">
        <v>8582601</v>
      </c>
      <c r="B253" t="s">
        <v>267</v>
      </c>
      <c r="C253" t="s">
        <v>283</v>
      </c>
      <c r="D253" t="s">
        <v>72</v>
      </c>
      <c r="E253" t="s">
        <v>403</v>
      </c>
      <c r="G253">
        <v>1.6</v>
      </c>
      <c r="M253">
        <v>1</v>
      </c>
      <c r="N253">
        <f t="shared" si="30"/>
        <v>0</v>
      </c>
      <c r="O253">
        <f t="shared" si="31"/>
        <v>2.6</v>
      </c>
      <c r="AB253">
        <f t="shared" si="32"/>
        <v>0</v>
      </c>
      <c r="AC253">
        <f t="shared" si="33"/>
        <v>0</v>
      </c>
      <c r="AH253">
        <f t="shared" si="34"/>
        <v>0</v>
      </c>
      <c r="AI253">
        <f t="shared" si="35"/>
        <v>0</v>
      </c>
      <c r="AN253">
        <f t="shared" si="36"/>
        <v>0</v>
      </c>
      <c r="AO253">
        <f t="shared" si="37"/>
        <v>0</v>
      </c>
      <c r="AP253">
        <f t="shared" si="38"/>
        <v>0</v>
      </c>
      <c r="AQ253">
        <f t="shared" si="39"/>
        <v>2.6</v>
      </c>
    </row>
    <row r="254" spans="1:43" x14ac:dyDescent="0.2">
      <c r="A254">
        <v>9337542</v>
      </c>
      <c r="B254" t="s">
        <v>267</v>
      </c>
      <c r="C254" t="s">
        <v>268</v>
      </c>
      <c r="D254" t="s">
        <v>72</v>
      </c>
      <c r="E254" t="s">
        <v>404</v>
      </c>
      <c r="N254">
        <f t="shared" si="30"/>
        <v>0</v>
      </c>
      <c r="O254">
        <f t="shared" si="31"/>
        <v>0</v>
      </c>
      <c r="AB254">
        <f t="shared" si="32"/>
        <v>0</v>
      </c>
      <c r="AC254">
        <f t="shared" si="33"/>
        <v>0</v>
      </c>
      <c r="AH254">
        <f t="shared" si="34"/>
        <v>0</v>
      </c>
      <c r="AI254">
        <f t="shared" si="35"/>
        <v>0</v>
      </c>
      <c r="AN254">
        <f t="shared" si="36"/>
        <v>0</v>
      </c>
      <c r="AO254">
        <f t="shared" si="37"/>
        <v>0</v>
      </c>
      <c r="AP254">
        <f t="shared" si="38"/>
        <v>0</v>
      </c>
      <c r="AQ254">
        <f t="shared" si="39"/>
        <v>0</v>
      </c>
    </row>
    <row r="255" spans="1:43" x14ac:dyDescent="0.2">
      <c r="A255">
        <v>226299</v>
      </c>
      <c r="B255" t="s">
        <v>267</v>
      </c>
      <c r="C255" t="s">
        <v>177</v>
      </c>
      <c r="D255" t="s">
        <v>53</v>
      </c>
      <c r="E255" t="s">
        <v>405</v>
      </c>
      <c r="G255">
        <v>0.9</v>
      </c>
      <c r="M255">
        <v>3</v>
      </c>
      <c r="N255">
        <f t="shared" si="30"/>
        <v>0</v>
      </c>
      <c r="O255">
        <f t="shared" si="31"/>
        <v>3.9</v>
      </c>
      <c r="Q255">
        <v>1.9</v>
      </c>
      <c r="AB255">
        <f t="shared" si="32"/>
        <v>0</v>
      </c>
      <c r="AC255">
        <f t="shared" si="33"/>
        <v>1.9</v>
      </c>
      <c r="AH255">
        <f t="shared" si="34"/>
        <v>0</v>
      </c>
      <c r="AI255">
        <f t="shared" si="35"/>
        <v>0</v>
      </c>
      <c r="AN255">
        <f t="shared" si="36"/>
        <v>0</v>
      </c>
      <c r="AO255">
        <f t="shared" si="37"/>
        <v>0</v>
      </c>
      <c r="AP255">
        <f t="shared" si="38"/>
        <v>0</v>
      </c>
      <c r="AQ255">
        <f t="shared" si="39"/>
        <v>5.8</v>
      </c>
    </row>
    <row r="256" spans="1:43" x14ac:dyDescent="0.2">
      <c r="A256">
        <v>7298076</v>
      </c>
      <c r="B256" t="s">
        <v>267</v>
      </c>
      <c r="C256" t="s">
        <v>278</v>
      </c>
      <c r="D256" t="s">
        <v>53</v>
      </c>
      <c r="E256" t="s">
        <v>406</v>
      </c>
      <c r="N256">
        <f t="shared" si="30"/>
        <v>0</v>
      </c>
      <c r="O256">
        <f t="shared" si="31"/>
        <v>0</v>
      </c>
      <c r="AB256">
        <f t="shared" si="32"/>
        <v>0</v>
      </c>
      <c r="AC256">
        <f t="shared" si="33"/>
        <v>0</v>
      </c>
      <c r="AH256">
        <f t="shared" si="34"/>
        <v>0</v>
      </c>
      <c r="AI256">
        <f t="shared" si="35"/>
        <v>0</v>
      </c>
      <c r="AN256">
        <f t="shared" si="36"/>
        <v>0</v>
      </c>
      <c r="AO256">
        <f t="shared" si="37"/>
        <v>0</v>
      </c>
      <c r="AP256">
        <f t="shared" si="38"/>
        <v>0</v>
      </c>
      <c r="AQ256">
        <f t="shared" si="39"/>
        <v>0</v>
      </c>
    </row>
    <row r="257" spans="1:43" x14ac:dyDescent="0.2">
      <c r="A257">
        <v>7298099</v>
      </c>
      <c r="B257" t="s">
        <v>267</v>
      </c>
      <c r="C257" t="s">
        <v>283</v>
      </c>
      <c r="D257" t="s">
        <v>72</v>
      </c>
      <c r="E257" t="s">
        <v>407</v>
      </c>
      <c r="N257">
        <f t="shared" si="30"/>
        <v>0</v>
      </c>
      <c r="O257">
        <f t="shared" si="31"/>
        <v>0</v>
      </c>
      <c r="Q257">
        <v>0.7</v>
      </c>
      <c r="AB257">
        <f t="shared" si="32"/>
        <v>0</v>
      </c>
      <c r="AC257">
        <f t="shared" si="33"/>
        <v>0.7</v>
      </c>
      <c r="AH257">
        <f t="shared" si="34"/>
        <v>0</v>
      </c>
      <c r="AI257">
        <f t="shared" si="35"/>
        <v>0</v>
      </c>
      <c r="AN257">
        <f t="shared" si="36"/>
        <v>0</v>
      </c>
      <c r="AO257">
        <f t="shared" si="37"/>
        <v>0</v>
      </c>
      <c r="AP257">
        <f t="shared" si="38"/>
        <v>0</v>
      </c>
      <c r="AQ257">
        <f t="shared" si="39"/>
        <v>0.7</v>
      </c>
    </row>
    <row r="258" spans="1:43" x14ac:dyDescent="0.2">
      <c r="A258">
        <v>7298078</v>
      </c>
      <c r="B258" t="s">
        <v>267</v>
      </c>
      <c r="C258" t="s">
        <v>283</v>
      </c>
      <c r="D258" t="s">
        <v>53</v>
      </c>
      <c r="E258" t="s">
        <v>408</v>
      </c>
      <c r="N258">
        <f t="shared" si="30"/>
        <v>0</v>
      </c>
      <c r="O258">
        <f t="shared" si="31"/>
        <v>0</v>
      </c>
      <c r="Q258">
        <v>0.1</v>
      </c>
      <c r="AB258">
        <f t="shared" si="32"/>
        <v>0</v>
      </c>
      <c r="AC258">
        <f t="shared" si="33"/>
        <v>0.1</v>
      </c>
      <c r="AH258">
        <f t="shared" si="34"/>
        <v>0</v>
      </c>
      <c r="AI258">
        <f t="shared" si="35"/>
        <v>0</v>
      </c>
      <c r="AN258">
        <f t="shared" si="36"/>
        <v>0</v>
      </c>
      <c r="AO258">
        <f t="shared" si="37"/>
        <v>0</v>
      </c>
      <c r="AP258">
        <f t="shared" si="38"/>
        <v>0</v>
      </c>
      <c r="AQ258">
        <f t="shared" si="39"/>
        <v>0.1</v>
      </c>
    </row>
    <row r="259" spans="1:43" x14ac:dyDescent="0.2">
      <c r="A259">
        <v>839700</v>
      </c>
      <c r="B259" t="s">
        <v>267</v>
      </c>
      <c r="C259" t="s">
        <v>283</v>
      </c>
      <c r="D259" t="s">
        <v>53</v>
      </c>
      <c r="E259" t="s">
        <v>409</v>
      </c>
      <c r="N259">
        <f t="shared" ref="N259:N322" si="40">SUM(F259,H259,J259,L259)</f>
        <v>0</v>
      </c>
      <c r="O259">
        <f t="shared" ref="O259:O322" si="41">SUM(G259,I259,K259,M259)</f>
        <v>0</v>
      </c>
      <c r="AB259">
        <f t="shared" ref="AB259:AB322" si="42">SUM(P259,R259,T259,V259,X259,Z259)</f>
        <v>0</v>
      </c>
      <c r="AC259">
        <f t="shared" ref="AC259:AC322" si="43">SUM(Q259,S259,U259,W259,Y259,AA259)</f>
        <v>0</v>
      </c>
      <c r="AH259">
        <f t="shared" ref="AH259:AH322" si="44">SUM(AD259,AF259)</f>
        <v>0</v>
      </c>
      <c r="AI259">
        <f t="shared" ref="AI259:AI322" si="45">SUM(AE259,AG259)</f>
        <v>0</v>
      </c>
      <c r="AN259">
        <f t="shared" ref="AN259:AN322" si="46">SUM(AJ259,AL259)</f>
        <v>0</v>
      </c>
      <c r="AO259">
        <f t="shared" ref="AO259:AO322" si="47">SUM(AK259,AM259)</f>
        <v>0</v>
      </c>
      <c r="AP259">
        <f t="shared" ref="AP259:AP322" si="48">SUM(N259,AB259,AH259,AN259)</f>
        <v>0</v>
      </c>
      <c r="AQ259">
        <f t="shared" ref="AQ259:AQ322" si="49">SUM(O259,AC259,AI259,AO259)</f>
        <v>0</v>
      </c>
    </row>
    <row r="260" spans="1:43" x14ac:dyDescent="0.2">
      <c r="A260">
        <v>492176</v>
      </c>
      <c r="B260" t="s">
        <v>267</v>
      </c>
      <c r="C260" t="s">
        <v>283</v>
      </c>
      <c r="D260" t="s">
        <v>369</v>
      </c>
      <c r="E260" t="s">
        <v>410</v>
      </c>
      <c r="N260">
        <f t="shared" si="40"/>
        <v>0</v>
      </c>
      <c r="O260">
        <f t="shared" si="41"/>
        <v>0</v>
      </c>
      <c r="Q260">
        <v>0.7</v>
      </c>
      <c r="AB260">
        <f t="shared" si="42"/>
        <v>0</v>
      </c>
      <c r="AC260">
        <f t="shared" si="43"/>
        <v>0.7</v>
      </c>
      <c r="AH260">
        <f t="shared" si="44"/>
        <v>0</v>
      </c>
      <c r="AI260">
        <f t="shared" si="45"/>
        <v>0</v>
      </c>
      <c r="AN260">
        <f t="shared" si="46"/>
        <v>0</v>
      </c>
      <c r="AO260">
        <f t="shared" si="47"/>
        <v>0</v>
      </c>
      <c r="AP260">
        <f t="shared" si="48"/>
        <v>0</v>
      </c>
      <c r="AQ260">
        <f t="shared" si="49"/>
        <v>0.7</v>
      </c>
    </row>
    <row r="261" spans="1:43" x14ac:dyDescent="0.2">
      <c r="A261">
        <v>252554</v>
      </c>
      <c r="B261" t="s">
        <v>267</v>
      </c>
      <c r="C261" t="s">
        <v>283</v>
      </c>
      <c r="D261" t="s">
        <v>67</v>
      </c>
      <c r="E261" t="s">
        <v>411</v>
      </c>
      <c r="G261">
        <v>0.7</v>
      </c>
      <c r="N261">
        <f t="shared" si="40"/>
        <v>0</v>
      </c>
      <c r="O261">
        <f t="shared" si="41"/>
        <v>0.7</v>
      </c>
      <c r="AB261">
        <f t="shared" si="42"/>
        <v>0</v>
      </c>
      <c r="AC261">
        <f t="shared" si="43"/>
        <v>0</v>
      </c>
      <c r="AH261">
        <f t="shared" si="44"/>
        <v>0</v>
      </c>
      <c r="AI261">
        <f t="shared" si="45"/>
        <v>0</v>
      </c>
      <c r="AN261">
        <f t="shared" si="46"/>
        <v>0</v>
      </c>
      <c r="AO261">
        <f t="shared" si="47"/>
        <v>0</v>
      </c>
      <c r="AP261">
        <f t="shared" si="48"/>
        <v>0</v>
      </c>
      <c r="AQ261">
        <f t="shared" si="49"/>
        <v>0.7</v>
      </c>
    </row>
    <row r="262" spans="1:43" x14ac:dyDescent="0.2">
      <c r="A262">
        <v>674672</v>
      </c>
      <c r="B262" t="s">
        <v>267</v>
      </c>
      <c r="C262" t="s">
        <v>283</v>
      </c>
      <c r="D262" t="s">
        <v>299</v>
      </c>
      <c r="E262" t="s">
        <v>412</v>
      </c>
      <c r="N262">
        <f t="shared" si="40"/>
        <v>0</v>
      </c>
      <c r="O262">
        <f t="shared" si="41"/>
        <v>0</v>
      </c>
      <c r="AB262">
        <f t="shared" si="42"/>
        <v>0</v>
      </c>
      <c r="AC262">
        <f t="shared" si="43"/>
        <v>0</v>
      </c>
      <c r="AH262">
        <f t="shared" si="44"/>
        <v>0</v>
      </c>
      <c r="AI262">
        <f t="shared" si="45"/>
        <v>0</v>
      </c>
      <c r="AN262">
        <f t="shared" si="46"/>
        <v>0</v>
      </c>
      <c r="AO262">
        <f t="shared" si="47"/>
        <v>0</v>
      </c>
      <c r="AP262">
        <f t="shared" si="48"/>
        <v>0</v>
      </c>
      <c r="AQ262">
        <f t="shared" si="49"/>
        <v>0</v>
      </c>
    </row>
    <row r="263" spans="1:43" x14ac:dyDescent="0.2">
      <c r="A263">
        <v>2325620</v>
      </c>
      <c r="B263" t="s">
        <v>267</v>
      </c>
      <c r="C263" t="s">
        <v>298</v>
      </c>
      <c r="D263" t="s">
        <v>413</v>
      </c>
      <c r="E263" t="s">
        <v>414</v>
      </c>
      <c r="M263">
        <v>2</v>
      </c>
      <c r="N263">
        <f t="shared" si="40"/>
        <v>0</v>
      </c>
      <c r="O263">
        <f t="shared" si="41"/>
        <v>2</v>
      </c>
      <c r="Q263">
        <v>3.1</v>
      </c>
      <c r="AB263">
        <f t="shared" si="42"/>
        <v>0</v>
      </c>
      <c r="AC263">
        <f t="shared" si="43"/>
        <v>3.1</v>
      </c>
      <c r="AH263">
        <f t="shared" si="44"/>
        <v>0</v>
      </c>
      <c r="AI263">
        <f t="shared" si="45"/>
        <v>0</v>
      </c>
      <c r="AN263">
        <f t="shared" si="46"/>
        <v>0</v>
      </c>
      <c r="AO263">
        <f t="shared" si="47"/>
        <v>0</v>
      </c>
      <c r="AP263">
        <f t="shared" si="48"/>
        <v>0</v>
      </c>
      <c r="AQ263">
        <f t="shared" si="49"/>
        <v>5.0999999999999996</v>
      </c>
    </row>
    <row r="264" spans="1:43" x14ac:dyDescent="0.2">
      <c r="A264">
        <v>2322706</v>
      </c>
      <c r="B264" t="s">
        <v>267</v>
      </c>
      <c r="C264" t="s">
        <v>268</v>
      </c>
      <c r="D264" t="s">
        <v>72</v>
      </c>
      <c r="E264" t="s">
        <v>415</v>
      </c>
      <c r="N264">
        <f t="shared" si="40"/>
        <v>0</v>
      </c>
      <c r="O264">
        <f t="shared" si="41"/>
        <v>0</v>
      </c>
      <c r="AB264">
        <f t="shared" si="42"/>
        <v>0</v>
      </c>
      <c r="AC264">
        <f t="shared" si="43"/>
        <v>0</v>
      </c>
      <c r="AH264">
        <f t="shared" si="44"/>
        <v>0</v>
      </c>
      <c r="AI264">
        <f t="shared" si="45"/>
        <v>0</v>
      </c>
      <c r="AN264">
        <f t="shared" si="46"/>
        <v>0</v>
      </c>
      <c r="AO264">
        <f t="shared" si="47"/>
        <v>0</v>
      </c>
      <c r="AP264">
        <f t="shared" si="48"/>
        <v>0</v>
      </c>
      <c r="AQ264">
        <f t="shared" si="49"/>
        <v>0</v>
      </c>
    </row>
    <row r="265" spans="1:43" x14ac:dyDescent="0.2">
      <c r="A265">
        <v>8114191</v>
      </c>
      <c r="B265" t="s">
        <v>267</v>
      </c>
      <c r="C265" t="s">
        <v>298</v>
      </c>
      <c r="D265" t="s">
        <v>72</v>
      </c>
      <c r="E265" t="s">
        <v>416</v>
      </c>
      <c r="G265">
        <v>1</v>
      </c>
      <c r="M265">
        <v>1</v>
      </c>
      <c r="N265">
        <f t="shared" si="40"/>
        <v>0</v>
      </c>
      <c r="O265">
        <f t="shared" si="41"/>
        <v>2</v>
      </c>
      <c r="AB265">
        <f t="shared" si="42"/>
        <v>0</v>
      </c>
      <c r="AC265">
        <f t="shared" si="43"/>
        <v>0</v>
      </c>
      <c r="AH265">
        <f t="shared" si="44"/>
        <v>0</v>
      </c>
      <c r="AI265">
        <f t="shared" si="45"/>
        <v>0</v>
      </c>
      <c r="AN265">
        <f t="shared" si="46"/>
        <v>0</v>
      </c>
      <c r="AO265">
        <f t="shared" si="47"/>
        <v>0</v>
      </c>
      <c r="AP265">
        <f t="shared" si="48"/>
        <v>0</v>
      </c>
      <c r="AQ265">
        <f t="shared" si="49"/>
        <v>2</v>
      </c>
    </row>
    <row r="266" spans="1:43" x14ac:dyDescent="0.2">
      <c r="A266">
        <v>391255</v>
      </c>
      <c r="B266" t="s">
        <v>267</v>
      </c>
      <c r="C266" t="s">
        <v>283</v>
      </c>
      <c r="D266" t="s">
        <v>72</v>
      </c>
      <c r="E266" t="s">
        <v>417</v>
      </c>
      <c r="G266">
        <v>0.4</v>
      </c>
      <c r="N266">
        <f t="shared" si="40"/>
        <v>0</v>
      </c>
      <c r="O266">
        <f t="shared" si="41"/>
        <v>0.4</v>
      </c>
      <c r="AB266">
        <f t="shared" si="42"/>
        <v>0</v>
      </c>
      <c r="AC266">
        <f t="shared" si="43"/>
        <v>0</v>
      </c>
      <c r="AH266">
        <f t="shared" si="44"/>
        <v>0</v>
      </c>
      <c r="AI266">
        <f t="shared" si="45"/>
        <v>0</v>
      </c>
      <c r="AN266">
        <f t="shared" si="46"/>
        <v>0</v>
      </c>
      <c r="AO266">
        <f t="shared" si="47"/>
        <v>0</v>
      </c>
      <c r="AP266">
        <f t="shared" si="48"/>
        <v>0</v>
      </c>
      <c r="AQ266">
        <f t="shared" si="49"/>
        <v>0.4</v>
      </c>
    </row>
    <row r="267" spans="1:43" x14ac:dyDescent="0.2">
      <c r="A267">
        <v>378816</v>
      </c>
      <c r="B267" t="s">
        <v>267</v>
      </c>
      <c r="C267" t="s">
        <v>289</v>
      </c>
      <c r="D267" t="s">
        <v>53</v>
      </c>
      <c r="E267" t="s">
        <v>418</v>
      </c>
      <c r="G267">
        <v>0.8</v>
      </c>
      <c r="M267">
        <v>1</v>
      </c>
      <c r="N267">
        <f t="shared" si="40"/>
        <v>0</v>
      </c>
      <c r="O267">
        <f t="shared" si="41"/>
        <v>1.8</v>
      </c>
      <c r="Q267">
        <v>2.9</v>
      </c>
      <c r="AB267">
        <f t="shared" si="42"/>
        <v>0</v>
      </c>
      <c r="AC267">
        <f t="shared" si="43"/>
        <v>2.9</v>
      </c>
      <c r="AH267">
        <f t="shared" si="44"/>
        <v>0</v>
      </c>
      <c r="AI267">
        <f t="shared" si="45"/>
        <v>0</v>
      </c>
      <c r="AN267">
        <f t="shared" si="46"/>
        <v>0</v>
      </c>
      <c r="AO267">
        <f t="shared" si="47"/>
        <v>0</v>
      </c>
      <c r="AP267">
        <f t="shared" si="48"/>
        <v>0</v>
      </c>
      <c r="AQ267">
        <f t="shared" si="49"/>
        <v>4.7</v>
      </c>
    </row>
    <row r="268" spans="1:43" x14ac:dyDescent="0.2">
      <c r="A268">
        <v>3583992</v>
      </c>
      <c r="B268" t="s">
        <v>267</v>
      </c>
      <c r="C268" t="s">
        <v>268</v>
      </c>
      <c r="D268" t="s">
        <v>72</v>
      </c>
      <c r="E268" t="s">
        <v>419</v>
      </c>
      <c r="N268">
        <f t="shared" si="40"/>
        <v>0</v>
      </c>
      <c r="O268">
        <f t="shared" si="41"/>
        <v>0</v>
      </c>
      <c r="AB268">
        <f t="shared" si="42"/>
        <v>0</v>
      </c>
      <c r="AC268">
        <f t="shared" si="43"/>
        <v>0</v>
      </c>
      <c r="AH268">
        <f t="shared" si="44"/>
        <v>0</v>
      </c>
      <c r="AI268">
        <f t="shared" si="45"/>
        <v>0</v>
      </c>
      <c r="AN268">
        <f t="shared" si="46"/>
        <v>0</v>
      </c>
      <c r="AO268">
        <f t="shared" si="47"/>
        <v>0</v>
      </c>
      <c r="AP268">
        <f t="shared" si="48"/>
        <v>0</v>
      </c>
      <c r="AQ268">
        <f t="shared" si="49"/>
        <v>0</v>
      </c>
    </row>
    <row r="269" spans="1:43" x14ac:dyDescent="0.2">
      <c r="A269">
        <v>2959447</v>
      </c>
      <c r="B269" t="s">
        <v>420</v>
      </c>
      <c r="C269" t="s">
        <v>421</v>
      </c>
      <c r="D269" t="s">
        <v>422</v>
      </c>
      <c r="E269" t="s">
        <v>423</v>
      </c>
      <c r="N269">
        <f t="shared" si="40"/>
        <v>0</v>
      </c>
      <c r="O269">
        <f t="shared" si="41"/>
        <v>0</v>
      </c>
      <c r="AB269">
        <f t="shared" si="42"/>
        <v>0</v>
      </c>
      <c r="AC269">
        <f t="shared" si="43"/>
        <v>0</v>
      </c>
      <c r="AH269">
        <f t="shared" si="44"/>
        <v>0</v>
      </c>
      <c r="AI269">
        <f t="shared" si="45"/>
        <v>0</v>
      </c>
      <c r="AN269">
        <f t="shared" si="46"/>
        <v>0</v>
      </c>
      <c r="AO269">
        <f t="shared" si="47"/>
        <v>0</v>
      </c>
      <c r="AP269">
        <f t="shared" si="48"/>
        <v>0</v>
      </c>
      <c r="AQ269">
        <f t="shared" si="49"/>
        <v>0</v>
      </c>
    </row>
    <row r="270" spans="1:43" x14ac:dyDescent="0.2">
      <c r="A270">
        <v>2325676</v>
      </c>
      <c r="B270" t="s">
        <v>420</v>
      </c>
      <c r="C270" t="s">
        <v>421</v>
      </c>
      <c r="D270" t="s">
        <v>424</v>
      </c>
      <c r="E270" t="s">
        <v>425</v>
      </c>
      <c r="N270">
        <f t="shared" si="40"/>
        <v>0</v>
      </c>
      <c r="O270">
        <f t="shared" si="41"/>
        <v>0</v>
      </c>
      <c r="AB270">
        <f t="shared" si="42"/>
        <v>0</v>
      </c>
      <c r="AC270">
        <f t="shared" si="43"/>
        <v>0</v>
      </c>
      <c r="AH270">
        <f t="shared" si="44"/>
        <v>0</v>
      </c>
      <c r="AI270">
        <f t="shared" si="45"/>
        <v>0</v>
      </c>
      <c r="AN270">
        <f t="shared" si="46"/>
        <v>0</v>
      </c>
      <c r="AO270">
        <f t="shared" si="47"/>
        <v>0</v>
      </c>
      <c r="AP270">
        <f t="shared" si="48"/>
        <v>0</v>
      </c>
      <c r="AQ270">
        <f t="shared" si="49"/>
        <v>0</v>
      </c>
    </row>
    <row r="271" spans="1:43" x14ac:dyDescent="0.2">
      <c r="A271">
        <v>434766</v>
      </c>
      <c r="B271" t="s">
        <v>420</v>
      </c>
      <c r="C271" t="s">
        <v>421</v>
      </c>
      <c r="D271" t="s">
        <v>426</v>
      </c>
      <c r="E271" t="s">
        <v>427</v>
      </c>
      <c r="N271">
        <f t="shared" si="40"/>
        <v>0</v>
      </c>
      <c r="O271">
        <f t="shared" si="41"/>
        <v>0</v>
      </c>
      <c r="AB271">
        <f t="shared" si="42"/>
        <v>0</v>
      </c>
      <c r="AC271">
        <f t="shared" si="43"/>
        <v>0</v>
      </c>
      <c r="AH271">
        <f t="shared" si="44"/>
        <v>0</v>
      </c>
      <c r="AI271">
        <f t="shared" si="45"/>
        <v>0</v>
      </c>
      <c r="AN271">
        <f t="shared" si="46"/>
        <v>0</v>
      </c>
      <c r="AO271">
        <f t="shared" si="47"/>
        <v>0</v>
      </c>
      <c r="AP271">
        <f t="shared" si="48"/>
        <v>0</v>
      </c>
      <c r="AQ271">
        <f t="shared" si="49"/>
        <v>0</v>
      </c>
    </row>
    <row r="272" spans="1:43" x14ac:dyDescent="0.2">
      <c r="A272">
        <v>378818</v>
      </c>
      <c r="B272" t="s">
        <v>420</v>
      </c>
      <c r="C272" t="s">
        <v>421</v>
      </c>
      <c r="D272" t="s">
        <v>428</v>
      </c>
      <c r="E272" t="s">
        <v>429</v>
      </c>
      <c r="N272">
        <f t="shared" si="40"/>
        <v>0</v>
      </c>
      <c r="O272">
        <f t="shared" si="41"/>
        <v>0</v>
      </c>
      <c r="AB272">
        <f t="shared" si="42"/>
        <v>0</v>
      </c>
      <c r="AC272">
        <f t="shared" si="43"/>
        <v>0</v>
      </c>
      <c r="AH272">
        <f t="shared" si="44"/>
        <v>0</v>
      </c>
      <c r="AI272">
        <f t="shared" si="45"/>
        <v>0</v>
      </c>
      <c r="AN272">
        <f t="shared" si="46"/>
        <v>0</v>
      </c>
      <c r="AO272">
        <f t="shared" si="47"/>
        <v>0</v>
      </c>
      <c r="AP272">
        <f t="shared" si="48"/>
        <v>0</v>
      </c>
      <c r="AQ272">
        <f t="shared" si="49"/>
        <v>0</v>
      </c>
    </row>
    <row r="273" spans="1:43" x14ac:dyDescent="0.2">
      <c r="A273">
        <v>382630</v>
      </c>
      <c r="B273" t="s">
        <v>430</v>
      </c>
      <c r="C273" t="s">
        <v>431</v>
      </c>
      <c r="D273" t="s">
        <v>432</v>
      </c>
      <c r="E273" t="s">
        <v>433</v>
      </c>
      <c r="N273">
        <f t="shared" si="40"/>
        <v>0</v>
      </c>
      <c r="O273">
        <f t="shared" si="41"/>
        <v>0</v>
      </c>
      <c r="AB273">
        <f t="shared" si="42"/>
        <v>0</v>
      </c>
      <c r="AC273">
        <f t="shared" si="43"/>
        <v>0</v>
      </c>
      <c r="AH273">
        <f t="shared" si="44"/>
        <v>0</v>
      </c>
      <c r="AI273">
        <f t="shared" si="45"/>
        <v>0</v>
      </c>
      <c r="AN273">
        <f t="shared" si="46"/>
        <v>0</v>
      </c>
      <c r="AO273">
        <f t="shared" si="47"/>
        <v>0</v>
      </c>
      <c r="AP273">
        <f t="shared" si="48"/>
        <v>0</v>
      </c>
      <c r="AQ273">
        <f t="shared" si="49"/>
        <v>0</v>
      </c>
    </row>
    <row r="274" spans="1:43" x14ac:dyDescent="0.2">
      <c r="A274">
        <v>2960601</v>
      </c>
      <c r="B274" t="s">
        <v>430</v>
      </c>
      <c r="C274" t="s">
        <v>431</v>
      </c>
      <c r="D274" t="s">
        <v>432</v>
      </c>
      <c r="E274" t="s">
        <v>434</v>
      </c>
      <c r="N274">
        <f t="shared" si="40"/>
        <v>0</v>
      </c>
      <c r="O274">
        <f t="shared" si="41"/>
        <v>0</v>
      </c>
      <c r="AB274">
        <f t="shared" si="42"/>
        <v>0</v>
      </c>
      <c r="AC274">
        <f t="shared" si="43"/>
        <v>0</v>
      </c>
      <c r="AH274">
        <f t="shared" si="44"/>
        <v>0</v>
      </c>
      <c r="AI274">
        <f t="shared" si="45"/>
        <v>0</v>
      </c>
      <c r="AN274">
        <f t="shared" si="46"/>
        <v>0</v>
      </c>
      <c r="AO274">
        <f t="shared" si="47"/>
        <v>0</v>
      </c>
      <c r="AP274">
        <f t="shared" si="48"/>
        <v>0</v>
      </c>
      <c r="AQ274">
        <f t="shared" si="49"/>
        <v>0</v>
      </c>
    </row>
    <row r="275" spans="1:43" x14ac:dyDescent="0.2">
      <c r="A275">
        <v>1031124</v>
      </c>
      <c r="B275" t="s">
        <v>430</v>
      </c>
      <c r="C275" t="s">
        <v>431</v>
      </c>
      <c r="D275" t="s">
        <v>435</v>
      </c>
      <c r="E275" t="s">
        <v>436</v>
      </c>
      <c r="G275">
        <v>0.8</v>
      </c>
      <c r="K275">
        <v>7</v>
      </c>
      <c r="M275">
        <v>4</v>
      </c>
      <c r="N275">
        <f t="shared" si="40"/>
        <v>0</v>
      </c>
      <c r="O275">
        <f t="shared" si="41"/>
        <v>11.8</v>
      </c>
      <c r="Q275">
        <v>3</v>
      </c>
      <c r="AB275">
        <f t="shared" si="42"/>
        <v>0</v>
      </c>
      <c r="AC275">
        <f t="shared" si="43"/>
        <v>3</v>
      </c>
      <c r="AE275">
        <v>2.8</v>
      </c>
      <c r="AH275">
        <f t="shared" si="44"/>
        <v>0</v>
      </c>
      <c r="AI275">
        <f t="shared" si="45"/>
        <v>2.8</v>
      </c>
      <c r="AL275">
        <v>1</v>
      </c>
      <c r="AM275">
        <v>6.2</v>
      </c>
      <c r="AN275">
        <f t="shared" si="46"/>
        <v>1</v>
      </c>
      <c r="AO275">
        <f t="shared" si="47"/>
        <v>6.2</v>
      </c>
      <c r="AP275">
        <f t="shared" si="48"/>
        <v>1</v>
      </c>
      <c r="AQ275">
        <f t="shared" si="49"/>
        <v>23.8</v>
      </c>
    </row>
    <row r="276" spans="1:43" x14ac:dyDescent="0.2">
      <c r="B276" t="s">
        <v>430</v>
      </c>
      <c r="C276" t="s">
        <v>431</v>
      </c>
      <c r="D276" t="s">
        <v>432</v>
      </c>
      <c r="E276" t="s">
        <v>437</v>
      </c>
      <c r="G276">
        <v>1</v>
      </c>
      <c r="K276">
        <v>5</v>
      </c>
      <c r="N276">
        <f t="shared" si="40"/>
        <v>0</v>
      </c>
      <c r="O276">
        <f t="shared" si="41"/>
        <v>6</v>
      </c>
      <c r="AB276">
        <f t="shared" si="42"/>
        <v>0</v>
      </c>
      <c r="AC276">
        <f t="shared" si="43"/>
        <v>0</v>
      </c>
      <c r="AH276">
        <f t="shared" si="44"/>
        <v>0</v>
      </c>
      <c r="AI276">
        <f t="shared" si="45"/>
        <v>0</v>
      </c>
      <c r="AN276">
        <f t="shared" si="46"/>
        <v>0</v>
      </c>
      <c r="AO276">
        <f t="shared" si="47"/>
        <v>0</v>
      </c>
      <c r="AP276">
        <f t="shared" si="48"/>
        <v>0</v>
      </c>
      <c r="AQ276">
        <f t="shared" si="49"/>
        <v>6</v>
      </c>
    </row>
    <row r="277" spans="1:43" x14ac:dyDescent="0.2">
      <c r="A277">
        <v>1371540</v>
      </c>
      <c r="B277" t="s">
        <v>430</v>
      </c>
      <c r="C277" t="s">
        <v>431</v>
      </c>
      <c r="D277" t="s">
        <v>438</v>
      </c>
      <c r="E277" t="s">
        <v>439</v>
      </c>
      <c r="G277">
        <v>1</v>
      </c>
      <c r="K277">
        <v>3</v>
      </c>
      <c r="N277">
        <f t="shared" si="40"/>
        <v>0</v>
      </c>
      <c r="O277">
        <f t="shared" si="41"/>
        <v>4</v>
      </c>
      <c r="AB277">
        <f t="shared" si="42"/>
        <v>0</v>
      </c>
      <c r="AC277">
        <f t="shared" si="43"/>
        <v>0</v>
      </c>
      <c r="AH277">
        <f t="shared" si="44"/>
        <v>0</v>
      </c>
      <c r="AI277">
        <f t="shared" si="45"/>
        <v>0</v>
      </c>
      <c r="AN277">
        <f t="shared" si="46"/>
        <v>0</v>
      </c>
      <c r="AO277">
        <f t="shared" si="47"/>
        <v>0</v>
      </c>
      <c r="AP277">
        <f t="shared" si="48"/>
        <v>0</v>
      </c>
      <c r="AQ277">
        <f t="shared" si="49"/>
        <v>4</v>
      </c>
    </row>
    <row r="278" spans="1:43" x14ac:dyDescent="0.2">
      <c r="A278">
        <v>7988120</v>
      </c>
      <c r="B278" t="s">
        <v>430</v>
      </c>
      <c r="C278" t="s">
        <v>431</v>
      </c>
      <c r="D278" t="s">
        <v>359</v>
      </c>
      <c r="E278" t="s">
        <v>440</v>
      </c>
      <c r="K278">
        <v>4</v>
      </c>
      <c r="N278">
        <f t="shared" si="40"/>
        <v>0</v>
      </c>
      <c r="O278">
        <f t="shared" si="41"/>
        <v>4</v>
      </c>
      <c r="AB278">
        <f t="shared" si="42"/>
        <v>0</v>
      </c>
      <c r="AC278">
        <f t="shared" si="43"/>
        <v>0</v>
      </c>
      <c r="AH278">
        <f t="shared" si="44"/>
        <v>0</v>
      </c>
      <c r="AI278">
        <f t="shared" si="45"/>
        <v>0</v>
      </c>
      <c r="AN278">
        <f t="shared" si="46"/>
        <v>0</v>
      </c>
      <c r="AO278">
        <f t="shared" si="47"/>
        <v>0</v>
      </c>
      <c r="AP278">
        <f t="shared" si="48"/>
        <v>0</v>
      </c>
      <c r="AQ278">
        <f t="shared" si="49"/>
        <v>4</v>
      </c>
    </row>
    <row r="279" spans="1:43" x14ac:dyDescent="0.2">
      <c r="A279">
        <v>936502</v>
      </c>
      <c r="B279" t="s">
        <v>430</v>
      </c>
      <c r="C279" t="s">
        <v>431</v>
      </c>
      <c r="D279" t="s">
        <v>432</v>
      </c>
      <c r="E279" t="s">
        <v>441</v>
      </c>
      <c r="G279">
        <v>1.1000000000000001</v>
      </c>
      <c r="K279">
        <v>14</v>
      </c>
      <c r="M279">
        <v>4</v>
      </c>
      <c r="N279">
        <f t="shared" si="40"/>
        <v>0</v>
      </c>
      <c r="O279">
        <f t="shared" si="41"/>
        <v>19.100000000000001</v>
      </c>
      <c r="Q279">
        <v>1.4</v>
      </c>
      <c r="V279">
        <v>5</v>
      </c>
      <c r="W279">
        <v>6</v>
      </c>
      <c r="AB279">
        <f t="shared" si="42"/>
        <v>5</v>
      </c>
      <c r="AC279">
        <f t="shared" si="43"/>
        <v>7.4</v>
      </c>
      <c r="AH279">
        <f t="shared" si="44"/>
        <v>0</v>
      </c>
      <c r="AI279">
        <f t="shared" si="45"/>
        <v>0</v>
      </c>
      <c r="AN279">
        <f t="shared" si="46"/>
        <v>0</v>
      </c>
      <c r="AO279">
        <f t="shared" si="47"/>
        <v>0</v>
      </c>
      <c r="AP279">
        <f t="shared" si="48"/>
        <v>5</v>
      </c>
      <c r="AQ279">
        <f t="shared" si="49"/>
        <v>26.5</v>
      </c>
    </row>
    <row r="280" spans="1:43" x14ac:dyDescent="0.2">
      <c r="A280">
        <v>7124512</v>
      </c>
      <c r="B280" t="s">
        <v>430</v>
      </c>
      <c r="C280" t="s">
        <v>431</v>
      </c>
      <c r="D280" t="s">
        <v>442</v>
      </c>
      <c r="E280" t="s">
        <v>443</v>
      </c>
      <c r="K280">
        <v>4</v>
      </c>
      <c r="N280">
        <f t="shared" si="40"/>
        <v>0</v>
      </c>
      <c r="O280">
        <f t="shared" si="41"/>
        <v>4</v>
      </c>
      <c r="AB280">
        <f t="shared" si="42"/>
        <v>0</v>
      </c>
      <c r="AC280">
        <f t="shared" si="43"/>
        <v>0</v>
      </c>
      <c r="AH280">
        <f t="shared" si="44"/>
        <v>0</v>
      </c>
      <c r="AI280">
        <f t="shared" si="45"/>
        <v>0</v>
      </c>
      <c r="AN280">
        <f t="shared" si="46"/>
        <v>0</v>
      </c>
      <c r="AO280">
        <f t="shared" si="47"/>
        <v>0</v>
      </c>
      <c r="AP280">
        <f t="shared" si="48"/>
        <v>0</v>
      </c>
      <c r="AQ280">
        <f t="shared" si="49"/>
        <v>4</v>
      </c>
    </row>
    <row r="281" spans="1:43" x14ac:dyDescent="0.2">
      <c r="B281" t="s">
        <v>430</v>
      </c>
      <c r="C281" t="s">
        <v>431</v>
      </c>
      <c r="D281" t="s">
        <v>359</v>
      </c>
      <c r="E281" t="s">
        <v>444</v>
      </c>
      <c r="N281">
        <f t="shared" si="40"/>
        <v>0</v>
      </c>
      <c r="O281">
        <f t="shared" si="41"/>
        <v>0</v>
      </c>
      <c r="AB281">
        <f t="shared" si="42"/>
        <v>0</v>
      </c>
      <c r="AC281">
        <f t="shared" si="43"/>
        <v>0</v>
      </c>
      <c r="AH281">
        <f t="shared" si="44"/>
        <v>0</v>
      </c>
      <c r="AI281">
        <f t="shared" si="45"/>
        <v>0</v>
      </c>
      <c r="AN281">
        <f t="shared" si="46"/>
        <v>0</v>
      </c>
      <c r="AO281">
        <f t="shared" si="47"/>
        <v>0</v>
      </c>
      <c r="AP281">
        <f t="shared" si="48"/>
        <v>0</v>
      </c>
      <c r="AQ281">
        <f t="shared" si="49"/>
        <v>0</v>
      </c>
    </row>
    <row r="282" spans="1:43" x14ac:dyDescent="0.2">
      <c r="A282">
        <v>2575241</v>
      </c>
      <c r="B282" t="s">
        <v>430</v>
      </c>
      <c r="C282" t="s">
        <v>431</v>
      </c>
      <c r="D282" t="s">
        <v>445</v>
      </c>
      <c r="E282" t="s">
        <v>446</v>
      </c>
      <c r="N282">
        <f t="shared" si="40"/>
        <v>0</v>
      </c>
      <c r="O282">
        <f t="shared" si="41"/>
        <v>0</v>
      </c>
      <c r="AB282">
        <f t="shared" si="42"/>
        <v>0</v>
      </c>
      <c r="AC282">
        <f t="shared" si="43"/>
        <v>0</v>
      </c>
      <c r="AH282">
        <f t="shared" si="44"/>
        <v>0</v>
      </c>
      <c r="AI282">
        <f t="shared" si="45"/>
        <v>0</v>
      </c>
      <c r="AN282">
        <f t="shared" si="46"/>
        <v>0</v>
      </c>
      <c r="AO282">
        <f t="shared" si="47"/>
        <v>0</v>
      </c>
      <c r="AP282">
        <f t="shared" si="48"/>
        <v>0</v>
      </c>
      <c r="AQ282">
        <f t="shared" si="49"/>
        <v>0</v>
      </c>
    </row>
    <row r="283" spans="1:43" x14ac:dyDescent="0.2">
      <c r="A283">
        <v>2485346</v>
      </c>
      <c r="B283" t="s">
        <v>430</v>
      </c>
      <c r="C283" t="s">
        <v>431</v>
      </c>
      <c r="D283" t="s">
        <v>432</v>
      </c>
      <c r="E283" t="s">
        <v>447</v>
      </c>
      <c r="K283">
        <v>5</v>
      </c>
      <c r="N283">
        <f t="shared" si="40"/>
        <v>0</v>
      </c>
      <c r="O283">
        <f t="shared" si="41"/>
        <v>5</v>
      </c>
      <c r="AB283">
        <f t="shared" si="42"/>
        <v>0</v>
      </c>
      <c r="AC283">
        <f t="shared" si="43"/>
        <v>0</v>
      </c>
      <c r="AH283">
        <f t="shared" si="44"/>
        <v>0</v>
      </c>
      <c r="AI283">
        <f t="shared" si="45"/>
        <v>0</v>
      </c>
      <c r="AN283">
        <f t="shared" si="46"/>
        <v>0</v>
      </c>
      <c r="AO283">
        <f t="shared" si="47"/>
        <v>0</v>
      </c>
      <c r="AP283">
        <f t="shared" si="48"/>
        <v>0</v>
      </c>
      <c r="AQ283">
        <f t="shared" si="49"/>
        <v>5</v>
      </c>
    </row>
    <row r="284" spans="1:43" x14ac:dyDescent="0.2">
      <c r="A284">
        <v>2592586</v>
      </c>
      <c r="B284" t="s">
        <v>430</v>
      </c>
      <c r="C284" t="s">
        <v>431</v>
      </c>
      <c r="D284" t="s">
        <v>432</v>
      </c>
      <c r="E284" t="s">
        <v>448</v>
      </c>
      <c r="M284">
        <v>15.5</v>
      </c>
      <c r="N284">
        <f t="shared" si="40"/>
        <v>0</v>
      </c>
      <c r="O284">
        <f t="shared" si="41"/>
        <v>15.5</v>
      </c>
      <c r="AB284">
        <f t="shared" si="42"/>
        <v>0</v>
      </c>
      <c r="AC284">
        <f t="shared" si="43"/>
        <v>0</v>
      </c>
      <c r="AG284">
        <v>3.3</v>
      </c>
      <c r="AH284">
        <f t="shared" si="44"/>
        <v>0</v>
      </c>
      <c r="AI284">
        <f t="shared" si="45"/>
        <v>3.3</v>
      </c>
      <c r="AN284">
        <f t="shared" si="46"/>
        <v>0</v>
      </c>
      <c r="AO284">
        <f t="shared" si="47"/>
        <v>0</v>
      </c>
      <c r="AP284">
        <f t="shared" si="48"/>
        <v>0</v>
      </c>
      <c r="AQ284">
        <f t="shared" si="49"/>
        <v>18.8</v>
      </c>
    </row>
    <row r="285" spans="1:43" x14ac:dyDescent="0.2">
      <c r="A285">
        <v>2576031</v>
      </c>
      <c r="B285" t="s">
        <v>430</v>
      </c>
      <c r="C285" t="s">
        <v>431</v>
      </c>
      <c r="D285" t="s">
        <v>438</v>
      </c>
      <c r="E285" t="s">
        <v>449</v>
      </c>
      <c r="K285">
        <v>11</v>
      </c>
      <c r="N285">
        <f t="shared" si="40"/>
        <v>0</v>
      </c>
      <c r="O285">
        <f t="shared" si="41"/>
        <v>11</v>
      </c>
      <c r="AB285">
        <f t="shared" si="42"/>
        <v>0</v>
      </c>
      <c r="AC285">
        <f t="shared" si="43"/>
        <v>0</v>
      </c>
      <c r="AH285">
        <f t="shared" si="44"/>
        <v>0</v>
      </c>
      <c r="AI285">
        <f t="shared" si="45"/>
        <v>0</v>
      </c>
      <c r="AN285">
        <f t="shared" si="46"/>
        <v>0</v>
      </c>
      <c r="AO285">
        <f t="shared" si="47"/>
        <v>0</v>
      </c>
      <c r="AP285">
        <f t="shared" si="48"/>
        <v>0</v>
      </c>
      <c r="AQ285">
        <f t="shared" si="49"/>
        <v>11</v>
      </c>
    </row>
    <row r="286" spans="1:43" x14ac:dyDescent="0.2">
      <c r="A286">
        <v>732201</v>
      </c>
      <c r="B286" t="s">
        <v>430</v>
      </c>
      <c r="C286" t="s">
        <v>431</v>
      </c>
      <c r="D286" t="s">
        <v>432</v>
      </c>
      <c r="E286" t="s">
        <v>450</v>
      </c>
      <c r="N286">
        <f t="shared" si="40"/>
        <v>0</v>
      </c>
      <c r="O286">
        <f t="shared" si="41"/>
        <v>0</v>
      </c>
      <c r="AB286">
        <f t="shared" si="42"/>
        <v>0</v>
      </c>
      <c r="AC286">
        <f t="shared" si="43"/>
        <v>0</v>
      </c>
      <c r="AG286">
        <v>1.1000000000000001</v>
      </c>
      <c r="AH286">
        <f t="shared" si="44"/>
        <v>0</v>
      </c>
      <c r="AI286">
        <f t="shared" si="45"/>
        <v>1.1000000000000001</v>
      </c>
      <c r="AN286">
        <f t="shared" si="46"/>
        <v>0</v>
      </c>
      <c r="AO286">
        <f t="shared" si="47"/>
        <v>0</v>
      </c>
      <c r="AP286">
        <f t="shared" si="48"/>
        <v>0</v>
      </c>
      <c r="AQ286">
        <f t="shared" si="49"/>
        <v>1.1000000000000001</v>
      </c>
    </row>
    <row r="287" spans="1:43" x14ac:dyDescent="0.2">
      <c r="A287">
        <v>731249</v>
      </c>
      <c r="B287" t="s">
        <v>430</v>
      </c>
      <c r="C287" t="s">
        <v>431</v>
      </c>
      <c r="D287" t="s">
        <v>438</v>
      </c>
      <c r="E287" t="s">
        <v>451</v>
      </c>
      <c r="G287">
        <v>1.3</v>
      </c>
      <c r="K287">
        <v>16</v>
      </c>
      <c r="M287">
        <v>13</v>
      </c>
      <c r="N287">
        <f t="shared" si="40"/>
        <v>0</v>
      </c>
      <c r="O287">
        <f t="shared" si="41"/>
        <v>30.3</v>
      </c>
      <c r="Q287">
        <v>2.2000000000000002</v>
      </c>
      <c r="AB287">
        <f t="shared" si="42"/>
        <v>0</v>
      </c>
      <c r="AC287">
        <f t="shared" si="43"/>
        <v>2.2000000000000002</v>
      </c>
      <c r="AH287">
        <f t="shared" si="44"/>
        <v>0</v>
      </c>
      <c r="AI287">
        <f t="shared" si="45"/>
        <v>0</v>
      </c>
      <c r="AL287">
        <v>2</v>
      </c>
      <c r="AM287">
        <v>3.1</v>
      </c>
      <c r="AN287">
        <f t="shared" si="46"/>
        <v>2</v>
      </c>
      <c r="AO287">
        <f t="shared" si="47"/>
        <v>3.1</v>
      </c>
      <c r="AP287">
        <f t="shared" si="48"/>
        <v>2</v>
      </c>
      <c r="AQ287">
        <f t="shared" si="49"/>
        <v>35.6</v>
      </c>
    </row>
    <row r="288" spans="1:43" x14ac:dyDescent="0.2">
      <c r="A288">
        <v>731251</v>
      </c>
      <c r="B288" t="s">
        <v>430</v>
      </c>
      <c r="C288" t="s">
        <v>431</v>
      </c>
      <c r="D288" t="s">
        <v>432</v>
      </c>
      <c r="E288" t="s">
        <v>452</v>
      </c>
      <c r="N288">
        <f t="shared" si="40"/>
        <v>0</v>
      </c>
      <c r="O288">
        <f t="shared" si="41"/>
        <v>0</v>
      </c>
      <c r="AB288">
        <f t="shared" si="42"/>
        <v>0</v>
      </c>
      <c r="AC288">
        <f t="shared" si="43"/>
        <v>0</v>
      </c>
      <c r="AG288">
        <v>0.8</v>
      </c>
      <c r="AH288">
        <f t="shared" si="44"/>
        <v>0</v>
      </c>
      <c r="AI288">
        <f t="shared" si="45"/>
        <v>0.8</v>
      </c>
      <c r="AN288">
        <f t="shared" si="46"/>
        <v>0</v>
      </c>
      <c r="AO288">
        <f t="shared" si="47"/>
        <v>0</v>
      </c>
      <c r="AP288">
        <f t="shared" si="48"/>
        <v>0</v>
      </c>
      <c r="AQ288">
        <f t="shared" si="49"/>
        <v>0.8</v>
      </c>
    </row>
    <row r="289" spans="1:43" x14ac:dyDescent="0.2">
      <c r="A289">
        <v>731252</v>
      </c>
      <c r="B289" t="s">
        <v>430</v>
      </c>
      <c r="C289" t="s">
        <v>431</v>
      </c>
      <c r="D289" t="s">
        <v>432</v>
      </c>
      <c r="E289" t="s">
        <v>453</v>
      </c>
      <c r="G289">
        <v>2.1</v>
      </c>
      <c r="K289">
        <v>17</v>
      </c>
      <c r="N289">
        <f t="shared" si="40"/>
        <v>0</v>
      </c>
      <c r="O289">
        <f t="shared" si="41"/>
        <v>19.100000000000001</v>
      </c>
      <c r="AB289">
        <f t="shared" si="42"/>
        <v>0</v>
      </c>
      <c r="AC289">
        <f t="shared" si="43"/>
        <v>0</v>
      </c>
      <c r="AH289">
        <f t="shared" si="44"/>
        <v>0</v>
      </c>
      <c r="AI289">
        <f t="shared" si="45"/>
        <v>0</v>
      </c>
      <c r="AN289">
        <f t="shared" si="46"/>
        <v>0</v>
      </c>
      <c r="AO289">
        <f t="shared" si="47"/>
        <v>0</v>
      </c>
      <c r="AP289">
        <f t="shared" si="48"/>
        <v>0</v>
      </c>
      <c r="AQ289">
        <f t="shared" si="49"/>
        <v>19.100000000000001</v>
      </c>
    </row>
    <row r="290" spans="1:43" x14ac:dyDescent="0.2">
      <c r="A290">
        <v>1294675</v>
      </c>
      <c r="B290" t="s">
        <v>430</v>
      </c>
      <c r="C290" t="s">
        <v>431</v>
      </c>
      <c r="D290" t="s">
        <v>432</v>
      </c>
      <c r="E290" t="s">
        <v>454</v>
      </c>
      <c r="G290">
        <v>2</v>
      </c>
      <c r="K290">
        <v>17</v>
      </c>
      <c r="M290">
        <v>8</v>
      </c>
      <c r="N290">
        <f t="shared" si="40"/>
        <v>0</v>
      </c>
      <c r="O290">
        <f t="shared" si="41"/>
        <v>27</v>
      </c>
      <c r="Q290">
        <v>1.3</v>
      </c>
      <c r="V290">
        <v>2</v>
      </c>
      <c r="AB290">
        <f t="shared" si="42"/>
        <v>2</v>
      </c>
      <c r="AC290">
        <f t="shared" si="43"/>
        <v>1.3</v>
      </c>
      <c r="AH290">
        <f t="shared" si="44"/>
        <v>0</v>
      </c>
      <c r="AI290">
        <f t="shared" si="45"/>
        <v>0</v>
      </c>
      <c r="AN290">
        <f t="shared" si="46"/>
        <v>0</v>
      </c>
      <c r="AO290">
        <f t="shared" si="47"/>
        <v>0</v>
      </c>
      <c r="AP290">
        <f t="shared" si="48"/>
        <v>2</v>
      </c>
      <c r="AQ290">
        <f t="shared" si="49"/>
        <v>28.3</v>
      </c>
    </row>
    <row r="291" spans="1:43" x14ac:dyDescent="0.2">
      <c r="A291">
        <v>3726008</v>
      </c>
      <c r="B291" t="s">
        <v>430</v>
      </c>
      <c r="C291" t="s">
        <v>431</v>
      </c>
      <c r="D291" t="s">
        <v>432</v>
      </c>
      <c r="E291" t="s">
        <v>455</v>
      </c>
      <c r="G291">
        <v>1.9</v>
      </c>
      <c r="K291">
        <v>17</v>
      </c>
      <c r="M291">
        <v>5</v>
      </c>
      <c r="N291">
        <f t="shared" si="40"/>
        <v>0</v>
      </c>
      <c r="O291">
        <f t="shared" si="41"/>
        <v>23.9</v>
      </c>
      <c r="AB291">
        <f t="shared" si="42"/>
        <v>0</v>
      </c>
      <c r="AC291">
        <f t="shared" si="43"/>
        <v>0</v>
      </c>
      <c r="AE291">
        <v>3</v>
      </c>
      <c r="AH291">
        <f t="shared" si="44"/>
        <v>0</v>
      </c>
      <c r="AI291">
        <f t="shared" si="45"/>
        <v>3</v>
      </c>
      <c r="AN291">
        <f t="shared" si="46"/>
        <v>0</v>
      </c>
      <c r="AO291">
        <f t="shared" si="47"/>
        <v>0</v>
      </c>
      <c r="AP291">
        <f t="shared" si="48"/>
        <v>0</v>
      </c>
      <c r="AQ291">
        <f t="shared" si="49"/>
        <v>26.9</v>
      </c>
    </row>
    <row r="292" spans="1:43" x14ac:dyDescent="0.2">
      <c r="A292">
        <v>1294683</v>
      </c>
      <c r="B292" t="s">
        <v>430</v>
      </c>
      <c r="C292" t="s">
        <v>431</v>
      </c>
      <c r="D292" t="s">
        <v>438</v>
      </c>
      <c r="E292" t="s">
        <v>456</v>
      </c>
      <c r="G292">
        <v>1.2</v>
      </c>
      <c r="K292">
        <v>16</v>
      </c>
      <c r="M292">
        <v>3</v>
      </c>
      <c r="N292">
        <f t="shared" si="40"/>
        <v>0</v>
      </c>
      <c r="O292">
        <f t="shared" si="41"/>
        <v>20.2</v>
      </c>
      <c r="AB292">
        <f t="shared" si="42"/>
        <v>0</v>
      </c>
      <c r="AC292">
        <f t="shared" si="43"/>
        <v>0</v>
      </c>
      <c r="AE292">
        <v>2.9</v>
      </c>
      <c r="AH292">
        <f t="shared" si="44"/>
        <v>0</v>
      </c>
      <c r="AI292">
        <f t="shared" si="45"/>
        <v>2.9</v>
      </c>
      <c r="AL292">
        <v>3</v>
      </c>
      <c r="AM292">
        <v>8.1999999999999993</v>
      </c>
      <c r="AN292">
        <f t="shared" si="46"/>
        <v>3</v>
      </c>
      <c r="AO292">
        <f t="shared" si="47"/>
        <v>8.1999999999999993</v>
      </c>
      <c r="AP292">
        <f t="shared" si="48"/>
        <v>3</v>
      </c>
      <c r="AQ292">
        <f t="shared" si="49"/>
        <v>31.299999999999997</v>
      </c>
    </row>
    <row r="293" spans="1:43" x14ac:dyDescent="0.2">
      <c r="A293">
        <v>9362050</v>
      </c>
      <c r="B293" t="s">
        <v>430</v>
      </c>
      <c r="C293" t="s">
        <v>431</v>
      </c>
      <c r="D293" t="s">
        <v>438</v>
      </c>
      <c r="E293" t="s">
        <v>457</v>
      </c>
      <c r="K293">
        <v>5</v>
      </c>
      <c r="N293">
        <f t="shared" si="40"/>
        <v>0</v>
      </c>
      <c r="O293">
        <f t="shared" si="41"/>
        <v>5</v>
      </c>
      <c r="AB293">
        <f t="shared" si="42"/>
        <v>0</v>
      </c>
      <c r="AC293">
        <f t="shared" si="43"/>
        <v>0</v>
      </c>
      <c r="AH293">
        <f t="shared" si="44"/>
        <v>0</v>
      </c>
      <c r="AI293">
        <f t="shared" si="45"/>
        <v>0</v>
      </c>
      <c r="AN293">
        <f t="shared" si="46"/>
        <v>0</v>
      </c>
      <c r="AO293">
        <f t="shared" si="47"/>
        <v>0</v>
      </c>
      <c r="AP293">
        <f t="shared" si="48"/>
        <v>0</v>
      </c>
      <c r="AQ293">
        <f t="shared" si="49"/>
        <v>5</v>
      </c>
    </row>
    <row r="294" spans="1:43" x14ac:dyDescent="0.2">
      <c r="A294">
        <v>2250833</v>
      </c>
      <c r="B294" t="s">
        <v>430</v>
      </c>
      <c r="C294" t="s">
        <v>431</v>
      </c>
      <c r="D294" t="s">
        <v>432</v>
      </c>
      <c r="E294" t="s">
        <v>458</v>
      </c>
      <c r="N294">
        <f t="shared" si="40"/>
        <v>0</v>
      </c>
      <c r="O294">
        <f t="shared" si="41"/>
        <v>0</v>
      </c>
      <c r="AB294">
        <f t="shared" si="42"/>
        <v>0</v>
      </c>
      <c r="AC294">
        <f t="shared" si="43"/>
        <v>0</v>
      </c>
      <c r="AH294">
        <f t="shared" si="44"/>
        <v>0</v>
      </c>
      <c r="AI294">
        <f t="shared" si="45"/>
        <v>0</v>
      </c>
      <c r="AN294">
        <f t="shared" si="46"/>
        <v>0</v>
      </c>
      <c r="AO294">
        <f t="shared" si="47"/>
        <v>0</v>
      </c>
      <c r="AP294">
        <f t="shared" si="48"/>
        <v>0</v>
      </c>
      <c r="AQ294">
        <f t="shared" si="49"/>
        <v>0</v>
      </c>
    </row>
    <row r="295" spans="1:43" x14ac:dyDescent="0.2">
      <c r="A295">
        <v>6822479</v>
      </c>
      <c r="B295" t="s">
        <v>430</v>
      </c>
      <c r="C295" t="s">
        <v>431</v>
      </c>
      <c r="D295" t="s">
        <v>438</v>
      </c>
      <c r="E295" t="s">
        <v>459</v>
      </c>
      <c r="G295">
        <v>0.8</v>
      </c>
      <c r="K295">
        <v>14</v>
      </c>
      <c r="M295">
        <v>1</v>
      </c>
      <c r="N295">
        <f t="shared" si="40"/>
        <v>0</v>
      </c>
      <c r="O295">
        <f t="shared" si="41"/>
        <v>15.8</v>
      </c>
      <c r="W295">
        <v>3</v>
      </c>
      <c r="AB295">
        <f t="shared" si="42"/>
        <v>0</v>
      </c>
      <c r="AC295">
        <f t="shared" si="43"/>
        <v>3</v>
      </c>
      <c r="AH295">
        <f t="shared" si="44"/>
        <v>0</v>
      </c>
      <c r="AI295">
        <f t="shared" si="45"/>
        <v>0</v>
      </c>
      <c r="AN295">
        <f t="shared" si="46"/>
        <v>0</v>
      </c>
      <c r="AO295">
        <f t="shared" si="47"/>
        <v>0</v>
      </c>
      <c r="AP295">
        <f t="shared" si="48"/>
        <v>0</v>
      </c>
      <c r="AQ295">
        <f t="shared" si="49"/>
        <v>18.8</v>
      </c>
    </row>
    <row r="296" spans="1:43" x14ac:dyDescent="0.2">
      <c r="A296">
        <v>3424588</v>
      </c>
      <c r="B296" t="s">
        <v>430</v>
      </c>
      <c r="C296" t="s">
        <v>431</v>
      </c>
      <c r="D296" t="s">
        <v>445</v>
      </c>
      <c r="E296" t="s">
        <v>460</v>
      </c>
      <c r="K296">
        <v>3</v>
      </c>
      <c r="N296">
        <f t="shared" si="40"/>
        <v>0</v>
      </c>
      <c r="O296">
        <f t="shared" si="41"/>
        <v>3</v>
      </c>
      <c r="AB296">
        <f t="shared" si="42"/>
        <v>0</v>
      </c>
      <c r="AC296">
        <f t="shared" si="43"/>
        <v>0</v>
      </c>
      <c r="AH296">
        <f t="shared" si="44"/>
        <v>0</v>
      </c>
      <c r="AI296">
        <f t="shared" si="45"/>
        <v>0</v>
      </c>
      <c r="AN296">
        <f t="shared" si="46"/>
        <v>0</v>
      </c>
      <c r="AO296">
        <f t="shared" si="47"/>
        <v>0</v>
      </c>
      <c r="AP296">
        <f t="shared" si="48"/>
        <v>0</v>
      </c>
      <c r="AQ296">
        <f t="shared" si="49"/>
        <v>3</v>
      </c>
    </row>
    <row r="297" spans="1:43" x14ac:dyDescent="0.2">
      <c r="B297" t="s">
        <v>430</v>
      </c>
      <c r="C297" t="s">
        <v>431</v>
      </c>
      <c r="D297" t="s">
        <v>359</v>
      </c>
      <c r="E297" t="s">
        <v>461</v>
      </c>
      <c r="K297">
        <v>1</v>
      </c>
      <c r="N297">
        <f t="shared" si="40"/>
        <v>0</v>
      </c>
      <c r="O297">
        <f t="shared" si="41"/>
        <v>1</v>
      </c>
      <c r="AB297">
        <f t="shared" si="42"/>
        <v>0</v>
      </c>
      <c r="AC297">
        <f t="shared" si="43"/>
        <v>0</v>
      </c>
      <c r="AH297">
        <f t="shared" si="44"/>
        <v>0</v>
      </c>
      <c r="AI297">
        <f t="shared" si="45"/>
        <v>0</v>
      </c>
      <c r="AL297">
        <v>1</v>
      </c>
      <c r="AM297">
        <v>9</v>
      </c>
      <c r="AN297">
        <f t="shared" si="46"/>
        <v>1</v>
      </c>
      <c r="AO297">
        <f t="shared" si="47"/>
        <v>9</v>
      </c>
      <c r="AP297">
        <f t="shared" si="48"/>
        <v>1</v>
      </c>
      <c r="AQ297">
        <f t="shared" si="49"/>
        <v>10</v>
      </c>
    </row>
    <row r="298" spans="1:43" x14ac:dyDescent="0.2">
      <c r="A298">
        <v>672867</v>
      </c>
      <c r="B298" t="s">
        <v>430</v>
      </c>
      <c r="C298" t="s">
        <v>431</v>
      </c>
      <c r="D298" t="s">
        <v>432</v>
      </c>
      <c r="E298" t="s">
        <v>462</v>
      </c>
      <c r="N298">
        <f t="shared" si="40"/>
        <v>0</v>
      </c>
      <c r="O298">
        <f t="shared" si="41"/>
        <v>0</v>
      </c>
      <c r="AB298">
        <f t="shared" si="42"/>
        <v>0</v>
      </c>
      <c r="AC298">
        <f t="shared" si="43"/>
        <v>0</v>
      </c>
      <c r="AG298">
        <v>0.4</v>
      </c>
      <c r="AH298">
        <f t="shared" si="44"/>
        <v>0</v>
      </c>
      <c r="AI298">
        <f t="shared" si="45"/>
        <v>0.4</v>
      </c>
      <c r="AN298">
        <f t="shared" si="46"/>
        <v>0</v>
      </c>
      <c r="AO298">
        <f t="shared" si="47"/>
        <v>0</v>
      </c>
      <c r="AP298">
        <f t="shared" si="48"/>
        <v>0</v>
      </c>
      <c r="AQ298">
        <f t="shared" si="49"/>
        <v>0.4</v>
      </c>
    </row>
    <row r="299" spans="1:43" x14ac:dyDescent="0.2">
      <c r="A299">
        <v>672866</v>
      </c>
      <c r="B299" t="s">
        <v>430</v>
      </c>
      <c r="C299" t="s">
        <v>431</v>
      </c>
      <c r="D299" t="s">
        <v>432</v>
      </c>
      <c r="E299" t="s">
        <v>463</v>
      </c>
      <c r="N299">
        <f t="shared" si="40"/>
        <v>0</v>
      </c>
      <c r="O299">
        <f t="shared" si="41"/>
        <v>0</v>
      </c>
      <c r="AB299">
        <f t="shared" si="42"/>
        <v>0</v>
      </c>
      <c r="AC299">
        <f t="shared" si="43"/>
        <v>0</v>
      </c>
      <c r="AH299">
        <f t="shared" si="44"/>
        <v>0</v>
      </c>
      <c r="AI299">
        <f t="shared" si="45"/>
        <v>0</v>
      </c>
      <c r="AN299">
        <f t="shared" si="46"/>
        <v>0</v>
      </c>
      <c r="AO299">
        <f t="shared" si="47"/>
        <v>0</v>
      </c>
      <c r="AP299">
        <f t="shared" si="48"/>
        <v>0</v>
      </c>
      <c r="AQ299">
        <f t="shared" si="49"/>
        <v>0</v>
      </c>
    </row>
    <row r="300" spans="1:43" x14ac:dyDescent="0.2">
      <c r="A300">
        <v>509450</v>
      </c>
      <c r="B300" t="s">
        <v>430</v>
      </c>
      <c r="C300" t="s">
        <v>431</v>
      </c>
      <c r="D300" t="s">
        <v>432</v>
      </c>
      <c r="E300" t="s">
        <v>464</v>
      </c>
      <c r="N300">
        <f t="shared" si="40"/>
        <v>0</v>
      </c>
      <c r="O300">
        <f t="shared" si="41"/>
        <v>0</v>
      </c>
      <c r="AB300">
        <f t="shared" si="42"/>
        <v>0</v>
      </c>
      <c r="AC300">
        <f t="shared" si="43"/>
        <v>0</v>
      </c>
      <c r="AH300">
        <f t="shared" si="44"/>
        <v>0</v>
      </c>
      <c r="AI300">
        <f t="shared" si="45"/>
        <v>0</v>
      </c>
      <c r="AN300">
        <f t="shared" si="46"/>
        <v>0</v>
      </c>
      <c r="AO300">
        <f t="shared" si="47"/>
        <v>0</v>
      </c>
      <c r="AP300">
        <f t="shared" si="48"/>
        <v>0</v>
      </c>
      <c r="AQ300">
        <f t="shared" si="49"/>
        <v>0</v>
      </c>
    </row>
    <row r="301" spans="1:43" x14ac:dyDescent="0.2">
      <c r="A301">
        <v>672864</v>
      </c>
      <c r="B301" t="s">
        <v>430</v>
      </c>
      <c r="C301" t="s">
        <v>431</v>
      </c>
      <c r="D301" t="s">
        <v>432</v>
      </c>
      <c r="E301" t="s">
        <v>465</v>
      </c>
      <c r="G301">
        <v>1</v>
      </c>
      <c r="K301">
        <v>2</v>
      </c>
      <c r="N301">
        <f t="shared" si="40"/>
        <v>0</v>
      </c>
      <c r="O301">
        <f t="shared" si="41"/>
        <v>3</v>
      </c>
      <c r="AB301">
        <f t="shared" si="42"/>
        <v>0</v>
      </c>
      <c r="AC301">
        <f t="shared" si="43"/>
        <v>0</v>
      </c>
      <c r="AH301">
        <f t="shared" si="44"/>
        <v>0</v>
      </c>
      <c r="AI301">
        <f t="shared" si="45"/>
        <v>0</v>
      </c>
      <c r="AN301">
        <f t="shared" si="46"/>
        <v>0</v>
      </c>
      <c r="AO301">
        <f t="shared" si="47"/>
        <v>0</v>
      </c>
      <c r="AP301">
        <f t="shared" si="48"/>
        <v>0</v>
      </c>
      <c r="AQ301">
        <f t="shared" si="49"/>
        <v>3</v>
      </c>
    </row>
    <row r="302" spans="1:43" x14ac:dyDescent="0.2">
      <c r="A302">
        <v>936510</v>
      </c>
      <c r="B302" t="s">
        <v>430</v>
      </c>
      <c r="C302" t="s">
        <v>431</v>
      </c>
      <c r="D302" t="s">
        <v>466</v>
      </c>
      <c r="E302" t="s">
        <v>467</v>
      </c>
      <c r="K302">
        <v>4</v>
      </c>
      <c r="N302">
        <f t="shared" si="40"/>
        <v>0</v>
      </c>
      <c r="O302">
        <f t="shared" si="41"/>
        <v>4</v>
      </c>
      <c r="AB302">
        <f t="shared" si="42"/>
        <v>0</v>
      </c>
      <c r="AC302">
        <f t="shared" si="43"/>
        <v>0</v>
      </c>
      <c r="AH302">
        <f t="shared" si="44"/>
        <v>0</v>
      </c>
      <c r="AI302">
        <f t="shared" si="45"/>
        <v>0</v>
      </c>
      <c r="AN302">
        <f t="shared" si="46"/>
        <v>0</v>
      </c>
      <c r="AO302">
        <f t="shared" si="47"/>
        <v>0</v>
      </c>
      <c r="AP302">
        <f t="shared" si="48"/>
        <v>0</v>
      </c>
      <c r="AQ302">
        <f t="shared" si="49"/>
        <v>4</v>
      </c>
    </row>
    <row r="303" spans="1:43" x14ac:dyDescent="0.2">
      <c r="A303">
        <v>672857</v>
      </c>
      <c r="B303" t="s">
        <v>430</v>
      </c>
      <c r="C303" t="s">
        <v>468</v>
      </c>
      <c r="D303" t="s">
        <v>435</v>
      </c>
      <c r="E303" t="s">
        <v>469</v>
      </c>
      <c r="N303">
        <f t="shared" si="40"/>
        <v>0</v>
      </c>
      <c r="O303">
        <f t="shared" si="41"/>
        <v>0</v>
      </c>
      <c r="AB303">
        <f t="shared" si="42"/>
        <v>0</v>
      </c>
      <c r="AC303">
        <f t="shared" si="43"/>
        <v>0</v>
      </c>
      <c r="AH303">
        <f t="shared" si="44"/>
        <v>0</v>
      </c>
      <c r="AI303">
        <f t="shared" si="45"/>
        <v>0</v>
      </c>
      <c r="AN303">
        <f t="shared" si="46"/>
        <v>0</v>
      </c>
      <c r="AO303">
        <f t="shared" si="47"/>
        <v>0</v>
      </c>
      <c r="AP303">
        <f t="shared" si="48"/>
        <v>0</v>
      </c>
      <c r="AQ303">
        <f t="shared" si="49"/>
        <v>0</v>
      </c>
    </row>
    <row r="304" spans="1:43" x14ac:dyDescent="0.2">
      <c r="A304">
        <v>328801</v>
      </c>
      <c r="B304" t="s">
        <v>430</v>
      </c>
      <c r="C304" t="s">
        <v>468</v>
      </c>
      <c r="D304" t="s">
        <v>432</v>
      </c>
      <c r="E304" t="s">
        <v>470</v>
      </c>
      <c r="G304">
        <v>5.5</v>
      </c>
      <c r="I304">
        <v>16</v>
      </c>
      <c r="K304">
        <v>6</v>
      </c>
      <c r="N304">
        <f t="shared" si="40"/>
        <v>0</v>
      </c>
      <c r="O304">
        <f t="shared" si="41"/>
        <v>27.5</v>
      </c>
      <c r="AB304">
        <f t="shared" si="42"/>
        <v>0</v>
      </c>
      <c r="AC304">
        <f t="shared" si="43"/>
        <v>0</v>
      </c>
      <c r="AH304">
        <f t="shared" si="44"/>
        <v>0</v>
      </c>
      <c r="AI304">
        <f t="shared" si="45"/>
        <v>0</v>
      </c>
      <c r="AN304">
        <f t="shared" si="46"/>
        <v>0</v>
      </c>
      <c r="AO304">
        <f t="shared" si="47"/>
        <v>0</v>
      </c>
      <c r="AP304">
        <f t="shared" si="48"/>
        <v>0</v>
      </c>
      <c r="AQ304">
        <f t="shared" si="49"/>
        <v>27.5</v>
      </c>
    </row>
    <row r="305" spans="1:43" x14ac:dyDescent="0.2">
      <c r="A305">
        <v>362216</v>
      </c>
      <c r="B305" t="s">
        <v>430</v>
      </c>
      <c r="C305" t="s">
        <v>468</v>
      </c>
      <c r="D305" t="s">
        <v>432</v>
      </c>
      <c r="E305" t="s">
        <v>471</v>
      </c>
      <c r="N305">
        <f t="shared" si="40"/>
        <v>0</v>
      </c>
      <c r="O305">
        <f t="shared" si="41"/>
        <v>0</v>
      </c>
      <c r="AB305">
        <f t="shared" si="42"/>
        <v>0</v>
      </c>
      <c r="AC305">
        <f t="shared" si="43"/>
        <v>0</v>
      </c>
      <c r="AH305">
        <f t="shared" si="44"/>
        <v>0</v>
      </c>
      <c r="AI305">
        <f t="shared" si="45"/>
        <v>0</v>
      </c>
      <c r="AN305">
        <f t="shared" si="46"/>
        <v>0</v>
      </c>
      <c r="AO305">
        <f t="shared" si="47"/>
        <v>0</v>
      </c>
      <c r="AP305">
        <f t="shared" si="48"/>
        <v>0</v>
      </c>
      <c r="AQ305">
        <f t="shared" si="49"/>
        <v>0</v>
      </c>
    </row>
    <row r="306" spans="1:43" x14ac:dyDescent="0.2">
      <c r="A306">
        <v>2026422</v>
      </c>
      <c r="B306" t="s">
        <v>430</v>
      </c>
      <c r="C306" t="s">
        <v>468</v>
      </c>
      <c r="D306" t="s">
        <v>438</v>
      </c>
      <c r="E306" t="s">
        <v>472</v>
      </c>
      <c r="G306">
        <v>6.7</v>
      </c>
      <c r="I306">
        <v>6</v>
      </c>
      <c r="K306">
        <v>8</v>
      </c>
      <c r="N306">
        <f t="shared" si="40"/>
        <v>0</v>
      </c>
      <c r="O306">
        <f t="shared" si="41"/>
        <v>20.7</v>
      </c>
      <c r="Q306">
        <v>3</v>
      </c>
      <c r="AB306">
        <f t="shared" si="42"/>
        <v>0</v>
      </c>
      <c r="AC306">
        <f t="shared" si="43"/>
        <v>3</v>
      </c>
      <c r="AE306">
        <v>0.4</v>
      </c>
      <c r="AH306">
        <f t="shared" si="44"/>
        <v>0</v>
      </c>
      <c r="AI306">
        <f t="shared" si="45"/>
        <v>0.4</v>
      </c>
      <c r="AK306">
        <v>0.2</v>
      </c>
      <c r="AN306">
        <f t="shared" si="46"/>
        <v>0</v>
      </c>
      <c r="AO306">
        <f t="shared" si="47"/>
        <v>0.2</v>
      </c>
      <c r="AP306">
        <f t="shared" si="48"/>
        <v>0</v>
      </c>
      <c r="AQ306">
        <f t="shared" si="49"/>
        <v>24.299999999999997</v>
      </c>
    </row>
    <row r="307" spans="1:43" x14ac:dyDescent="0.2">
      <c r="B307" t="s">
        <v>430</v>
      </c>
      <c r="C307" t="s">
        <v>468</v>
      </c>
      <c r="D307" t="s">
        <v>438</v>
      </c>
      <c r="E307" t="s">
        <v>473</v>
      </c>
      <c r="N307">
        <f t="shared" si="40"/>
        <v>0</v>
      </c>
      <c r="O307">
        <f t="shared" si="41"/>
        <v>0</v>
      </c>
      <c r="AB307">
        <f t="shared" si="42"/>
        <v>0</v>
      </c>
      <c r="AC307">
        <f t="shared" si="43"/>
        <v>0</v>
      </c>
      <c r="AH307">
        <f t="shared" si="44"/>
        <v>0</v>
      </c>
      <c r="AI307">
        <f t="shared" si="45"/>
        <v>0</v>
      </c>
      <c r="AN307">
        <f t="shared" si="46"/>
        <v>0</v>
      </c>
      <c r="AO307">
        <f t="shared" si="47"/>
        <v>0</v>
      </c>
      <c r="AP307">
        <f t="shared" si="48"/>
        <v>0</v>
      </c>
      <c r="AQ307">
        <f t="shared" si="49"/>
        <v>0</v>
      </c>
    </row>
    <row r="308" spans="1:43" x14ac:dyDescent="0.2">
      <c r="A308">
        <v>8366223</v>
      </c>
      <c r="B308" t="s">
        <v>430</v>
      </c>
      <c r="C308" t="s">
        <v>468</v>
      </c>
      <c r="D308" t="s">
        <v>432</v>
      </c>
      <c r="E308" t="s">
        <v>474</v>
      </c>
      <c r="N308">
        <f t="shared" si="40"/>
        <v>0</v>
      </c>
      <c r="O308">
        <f t="shared" si="41"/>
        <v>0</v>
      </c>
      <c r="AB308">
        <f t="shared" si="42"/>
        <v>0</v>
      </c>
      <c r="AC308">
        <f t="shared" si="43"/>
        <v>0</v>
      </c>
      <c r="AH308">
        <f t="shared" si="44"/>
        <v>0</v>
      </c>
      <c r="AI308">
        <f t="shared" si="45"/>
        <v>0</v>
      </c>
      <c r="AN308">
        <f t="shared" si="46"/>
        <v>0</v>
      </c>
      <c r="AO308">
        <f t="shared" si="47"/>
        <v>0</v>
      </c>
      <c r="AP308">
        <f t="shared" si="48"/>
        <v>0</v>
      </c>
      <c r="AQ308">
        <f t="shared" si="49"/>
        <v>0</v>
      </c>
    </row>
    <row r="309" spans="1:43" x14ac:dyDescent="0.2">
      <c r="A309">
        <v>3003475</v>
      </c>
      <c r="B309" t="s">
        <v>430</v>
      </c>
      <c r="C309" t="s">
        <v>468</v>
      </c>
      <c r="D309" t="s">
        <v>432</v>
      </c>
      <c r="E309" t="s">
        <v>475</v>
      </c>
      <c r="N309">
        <f t="shared" si="40"/>
        <v>0</v>
      </c>
      <c r="O309">
        <f t="shared" si="41"/>
        <v>0</v>
      </c>
      <c r="AB309">
        <f t="shared" si="42"/>
        <v>0</v>
      </c>
      <c r="AC309">
        <f t="shared" si="43"/>
        <v>0</v>
      </c>
      <c r="AH309">
        <f t="shared" si="44"/>
        <v>0</v>
      </c>
      <c r="AI309">
        <f t="shared" si="45"/>
        <v>0</v>
      </c>
      <c r="AN309">
        <f t="shared" si="46"/>
        <v>0</v>
      </c>
      <c r="AO309">
        <f t="shared" si="47"/>
        <v>0</v>
      </c>
      <c r="AP309">
        <f t="shared" si="48"/>
        <v>0</v>
      </c>
      <c r="AQ309">
        <f t="shared" si="49"/>
        <v>0</v>
      </c>
    </row>
    <row r="310" spans="1:43" x14ac:dyDescent="0.2">
      <c r="A310">
        <v>3988926</v>
      </c>
      <c r="B310" t="s">
        <v>430</v>
      </c>
      <c r="C310" t="s">
        <v>468</v>
      </c>
      <c r="D310" t="s">
        <v>432</v>
      </c>
      <c r="E310" t="s">
        <v>476</v>
      </c>
      <c r="N310">
        <f t="shared" si="40"/>
        <v>0</v>
      </c>
      <c r="O310">
        <f t="shared" si="41"/>
        <v>0</v>
      </c>
      <c r="AB310">
        <f t="shared" si="42"/>
        <v>0</v>
      </c>
      <c r="AC310">
        <f t="shared" si="43"/>
        <v>0</v>
      </c>
      <c r="AH310">
        <f t="shared" si="44"/>
        <v>0</v>
      </c>
      <c r="AI310">
        <f t="shared" si="45"/>
        <v>0</v>
      </c>
      <c r="AN310">
        <f t="shared" si="46"/>
        <v>0</v>
      </c>
      <c r="AO310">
        <f t="shared" si="47"/>
        <v>0</v>
      </c>
      <c r="AP310">
        <f t="shared" si="48"/>
        <v>0</v>
      </c>
      <c r="AQ310">
        <f t="shared" si="49"/>
        <v>0</v>
      </c>
    </row>
    <row r="311" spans="1:43" x14ac:dyDescent="0.2">
      <c r="A311">
        <v>192300</v>
      </c>
      <c r="B311" t="s">
        <v>430</v>
      </c>
      <c r="C311" t="s">
        <v>468</v>
      </c>
      <c r="D311" t="s">
        <v>435</v>
      </c>
      <c r="E311" t="s">
        <v>477</v>
      </c>
      <c r="N311">
        <f t="shared" si="40"/>
        <v>0</v>
      </c>
      <c r="O311">
        <f t="shared" si="41"/>
        <v>0</v>
      </c>
      <c r="AB311">
        <f t="shared" si="42"/>
        <v>0</v>
      </c>
      <c r="AC311">
        <f t="shared" si="43"/>
        <v>0</v>
      </c>
      <c r="AH311">
        <f t="shared" si="44"/>
        <v>0</v>
      </c>
      <c r="AI311">
        <f t="shared" si="45"/>
        <v>0</v>
      </c>
      <c r="AN311">
        <f t="shared" si="46"/>
        <v>0</v>
      </c>
      <c r="AO311">
        <f t="shared" si="47"/>
        <v>0</v>
      </c>
      <c r="AP311">
        <f t="shared" si="48"/>
        <v>0</v>
      </c>
      <c r="AQ311">
        <f t="shared" si="49"/>
        <v>0</v>
      </c>
    </row>
    <row r="312" spans="1:43" x14ac:dyDescent="0.2">
      <c r="A312">
        <v>329508</v>
      </c>
      <c r="B312" t="s">
        <v>430</v>
      </c>
      <c r="C312" t="s">
        <v>468</v>
      </c>
      <c r="D312" t="s">
        <v>432</v>
      </c>
      <c r="E312" t="s">
        <v>478</v>
      </c>
      <c r="G312">
        <v>7.1</v>
      </c>
      <c r="I312">
        <v>1</v>
      </c>
      <c r="K312">
        <v>8</v>
      </c>
      <c r="N312">
        <f t="shared" si="40"/>
        <v>0</v>
      </c>
      <c r="O312">
        <f t="shared" si="41"/>
        <v>16.100000000000001</v>
      </c>
      <c r="Q312">
        <v>2.9</v>
      </c>
      <c r="W312">
        <v>3</v>
      </c>
      <c r="AB312">
        <f t="shared" si="42"/>
        <v>0</v>
      </c>
      <c r="AC312">
        <f t="shared" si="43"/>
        <v>5.9</v>
      </c>
      <c r="AE312">
        <v>2.2999999999999998</v>
      </c>
      <c r="AH312">
        <f t="shared" si="44"/>
        <v>0</v>
      </c>
      <c r="AI312">
        <f t="shared" si="45"/>
        <v>2.2999999999999998</v>
      </c>
      <c r="AN312">
        <f t="shared" si="46"/>
        <v>0</v>
      </c>
      <c r="AO312">
        <f t="shared" si="47"/>
        <v>0</v>
      </c>
      <c r="AP312">
        <f t="shared" si="48"/>
        <v>0</v>
      </c>
      <c r="AQ312">
        <f t="shared" si="49"/>
        <v>24.3</v>
      </c>
    </row>
    <row r="313" spans="1:43" x14ac:dyDescent="0.2">
      <c r="A313">
        <v>2140211</v>
      </c>
      <c r="B313" t="s">
        <v>430</v>
      </c>
      <c r="C313" t="s">
        <v>468</v>
      </c>
      <c r="D313" t="s">
        <v>479</v>
      </c>
      <c r="E313" t="s">
        <v>480</v>
      </c>
      <c r="K313">
        <v>4</v>
      </c>
      <c r="N313">
        <f t="shared" si="40"/>
        <v>0</v>
      </c>
      <c r="O313">
        <f t="shared" si="41"/>
        <v>4</v>
      </c>
      <c r="AB313">
        <f t="shared" si="42"/>
        <v>0</v>
      </c>
      <c r="AC313">
        <f t="shared" si="43"/>
        <v>0</v>
      </c>
      <c r="AG313">
        <v>2</v>
      </c>
      <c r="AH313">
        <f t="shared" si="44"/>
        <v>0</v>
      </c>
      <c r="AI313">
        <f t="shared" si="45"/>
        <v>2</v>
      </c>
      <c r="AK313">
        <v>1</v>
      </c>
      <c r="AM313">
        <v>6</v>
      </c>
      <c r="AN313">
        <f t="shared" si="46"/>
        <v>0</v>
      </c>
      <c r="AO313">
        <f t="shared" si="47"/>
        <v>7</v>
      </c>
      <c r="AP313">
        <f t="shared" si="48"/>
        <v>0</v>
      </c>
      <c r="AQ313">
        <f t="shared" si="49"/>
        <v>13</v>
      </c>
    </row>
    <row r="314" spans="1:43" x14ac:dyDescent="0.2">
      <c r="A314">
        <v>7032776</v>
      </c>
      <c r="B314" t="s">
        <v>430</v>
      </c>
      <c r="C314" t="s">
        <v>468</v>
      </c>
      <c r="D314" t="s">
        <v>432</v>
      </c>
      <c r="E314" t="s">
        <v>481</v>
      </c>
      <c r="I314">
        <v>8</v>
      </c>
      <c r="K314">
        <v>4</v>
      </c>
      <c r="N314">
        <f t="shared" si="40"/>
        <v>0</v>
      </c>
      <c r="O314">
        <f t="shared" si="41"/>
        <v>12</v>
      </c>
      <c r="AB314">
        <f t="shared" si="42"/>
        <v>0</v>
      </c>
      <c r="AC314">
        <f t="shared" si="43"/>
        <v>0</v>
      </c>
      <c r="AH314">
        <f t="shared" si="44"/>
        <v>0</v>
      </c>
      <c r="AI314">
        <f t="shared" si="45"/>
        <v>0</v>
      </c>
      <c r="AK314">
        <v>1</v>
      </c>
      <c r="AL314">
        <v>1</v>
      </c>
      <c r="AN314">
        <f t="shared" si="46"/>
        <v>1</v>
      </c>
      <c r="AO314">
        <f t="shared" si="47"/>
        <v>1</v>
      </c>
      <c r="AP314">
        <f t="shared" si="48"/>
        <v>1</v>
      </c>
      <c r="AQ314">
        <f t="shared" si="49"/>
        <v>13</v>
      </c>
    </row>
    <row r="315" spans="1:43" x14ac:dyDescent="0.2">
      <c r="A315">
        <v>252540</v>
      </c>
      <c r="B315" t="s">
        <v>430</v>
      </c>
      <c r="C315" t="s">
        <v>482</v>
      </c>
      <c r="D315" t="s">
        <v>432</v>
      </c>
      <c r="E315" t="s">
        <v>483</v>
      </c>
      <c r="N315">
        <f t="shared" si="40"/>
        <v>0</v>
      </c>
      <c r="O315">
        <f t="shared" si="41"/>
        <v>0</v>
      </c>
      <c r="AB315">
        <f t="shared" si="42"/>
        <v>0</v>
      </c>
      <c r="AC315">
        <f t="shared" si="43"/>
        <v>0</v>
      </c>
      <c r="AH315">
        <f t="shared" si="44"/>
        <v>0</v>
      </c>
      <c r="AI315">
        <f t="shared" si="45"/>
        <v>0</v>
      </c>
      <c r="AN315">
        <f t="shared" si="46"/>
        <v>0</v>
      </c>
      <c r="AO315">
        <f t="shared" si="47"/>
        <v>0</v>
      </c>
      <c r="AP315">
        <f t="shared" si="48"/>
        <v>0</v>
      </c>
      <c r="AQ315">
        <f t="shared" si="49"/>
        <v>0</v>
      </c>
    </row>
    <row r="316" spans="1:43" x14ac:dyDescent="0.2">
      <c r="A316">
        <v>2291755</v>
      </c>
      <c r="B316" t="s">
        <v>430</v>
      </c>
      <c r="C316" t="s">
        <v>482</v>
      </c>
      <c r="D316" t="s">
        <v>432</v>
      </c>
      <c r="E316" t="s">
        <v>484</v>
      </c>
      <c r="N316">
        <f t="shared" si="40"/>
        <v>0</v>
      </c>
      <c r="O316">
        <f t="shared" si="41"/>
        <v>0</v>
      </c>
      <c r="AB316">
        <f t="shared" si="42"/>
        <v>0</v>
      </c>
      <c r="AC316">
        <f t="shared" si="43"/>
        <v>0</v>
      </c>
      <c r="AH316">
        <f t="shared" si="44"/>
        <v>0</v>
      </c>
      <c r="AI316">
        <f t="shared" si="45"/>
        <v>0</v>
      </c>
      <c r="AN316">
        <f t="shared" si="46"/>
        <v>0</v>
      </c>
      <c r="AO316">
        <f t="shared" si="47"/>
        <v>0</v>
      </c>
      <c r="AP316">
        <f t="shared" si="48"/>
        <v>0</v>
      </c>
      <c r="AQ316">
        <f t="shared" si="49"/>
        <v>0</v>
      </c>
    </row>
    <row r="317" spans="1:43" x14ac:dyDescent="0.2">
      <c r="A317">
        <v>2087274</v>
      </c>
      <c r="B317" t="s">
        <v>430</v>
      </c>
      <c r="C317" t="s">
        <v>482</v>
      </c>
      <c r="D317" t="s">
        <v>432</v>
      </c>
      <c r="E317" t="s">
        <v>485</v>
      </c>
      <c r="N317">
        <f t="shared" si="40"/>
        <v>0</v>
      </c>
      <c r="O317">
        <f t="shared" si="41"/>
        <v>0</v>
      </c>
      <c r="AB317">
        <f t="shared" si="42"/>
        <v>0</v>
      </c>
      <c r="AC317">
        <f t="shared" si="43"/>
        <v>0</v>
      </c>
      <c r="AH317">
        <f t="shared" si="44"/>
        <v>0</v>
      </c>
      <c r="AI317">
        <f t="shared" si="45"/>
        <v>0</v>
      </c>
      <c r="AN317">
        <f t="shared" si="46"/>
        <v>0</v>
      </c>
      <c r="AO317">
        <f t="shared" si="47"/>
        <v>0</v>
      </c>
      <c r="AP317">
        <f t="shared" si="48"/>
        <v>0</v>
      </c>
      <c r="AQ317">
        <f t="shared" si="49"/>
        <v>0</v>
      </c>
    </row>
    <row r="318" spans="1:43" x14ac:dyDescent="0.2">
      <c r="A318">
        <v>5465183</v>
      </c>
      <c r="B318" t="s">
        <v>430</v>
      </c>
      <c r="C318" t="s">
        <v>482</v>
      </c>
      <c r="D318" t="s">
        <v>438</v>
      </c>
      <c r="E318" t="s">
        <v>486</v>
      </c>
      <c r="G318">
        <v>2.5</v>
      </c>
      <c r="H318">
        <v>1</v>
      </c>
      <c r="I318">
        <v>5</v>
      </c>
      <c r="K318">
        <v>5</v>
      </c>
      <c r="N318">
        <f t="shared" si="40"/>
        <v>1</v>
      </c>
      <c r="O318">
        <f t="shared" si="41"/>
        <v>12.5</v>
      </c>
      <c r="Q318">
        <v>1</v>
      </c>
      <c r="W318">
        <v>3</v>
      </c>
      <c r="Y318">
        <v>2</v>
      </c>
      <c r="AB318">
        <f t="shared" si="42"/>
        <v>0</v>
      </c>
      <c r="AC318">
        <f t="shared" si="43"/>
        <v>6</v>
      </c>
      <c r="AH318">
        <f t="shared" si="44"/>
        <v>0</v>
      </c>
      <c r="AI318">
        <f t="shared" si="45"/>
        <v>0</v>
      </c>
      <c r="AK318">
        <v>6.5</v>
      </c>
      <c r="AN318">
        <f t="shared" si="46"/>
        <v>0</v>
      </c>
      <c r="AO318">
        <f t="shared" si="47"/>
        <v>6.5</v>
      </c>
      <c r="AP318">
        <f t="shared" si="48"/>
        <v>1</v>
      </c>
      <c r="AQ318">
        <f t="shared" si="49"/>
        <v>25</v>
      </c>
    </row>
    <row r="319" spans="1:43" x14ac:dyDescent="0.2">
      <c r="A319">
        <v>391586</v>
      </c>
      <c r="B319" t="s">
        <v>430</v>
      </c>
      <c r="C319" t="s">
        <v>482</v>
      </c>
      <c r="D319" t="s">
        <v>487</v>
      </c>
      <c r="E319" t="s">
        <v>488</v>
      </c>
      <c r="N319">
        <f t="shared" si="40"/>
        <v>0</v>
      </c>
      <c r="O319">
        <f t="shared" si="41"/>
        <v>0</v>
      </c>
      <c r="Y319">
        <v>3</v>
      </c>
      <c r="AB319">
        <f t="shared" si="42"/>
        <v>0</v>
      </c>
      <c r="AC319">
        <f t="shared" si="43"/>
        <v>3</v>
      </c>
      <c r="AH319">
        <f t="shared" si="44"/>
        <v>0</v>
      </c>
      <c r="AI319">
        <f t="shared" si="45"/>
        <v>0</v>
      </c>
      <c r="AN319">
        <f t="shared" si="46"/>
        <v>0</v>
      </c>
      <c r="AO319">
        <f t="shared" si="47"/>
        <v>0</v>
      </c>
      <c r="AP319">
        <f t="shared" si="48"/>
        <v>0</v>
      </c>
      <c r="AQ319">
        <f t="shared" si="49"/>
        <v>3</v>
      </c>
    </row>
    <row r="320" spans="1:43" x14ac:dyDescent="0.2">
      <c r="A320">
        <v>1939799</v>
      </c>
      <c r="B320" t="s">
        <v>430</v>
      </c>
      <c r="C320" t="s">
        <v>482</v>
      </c>
      <c r="D320" t="s">
        <v>438</v>
      </c>
      <c r="E320" t="s">
        <v>489</v>
      </c>
      <c r="G320">
        <v>3</v>
      </c>
      <c r="I320">
        <v>1</v>
      </c>
      <c r="K320">
        <v>3</v>
      </c>
      <c r="N320">
        <f t="shared" si="40"/>
        <v>0</v>
      </c>
      <c r="O320">
        <f t="shared" si="41"/>
        <v>7</v>
      </c>
      <c r="V320">
        <v>7</v>
      </c>
      <c r="AB320">
        <f t="shared" si="42"/>
        <v>7</v>
      </c>
      <c r="AC320">
        <f t="shared" si="43"/>
        <v>0</v>
      </c>
      <c r="AH320">
        <f t="shared" si="44"/>
        <v>0</v>
      </c>
      <c r="AI320">
        <f t="shared" si="45"/>
        <v>0</v>
      </c>
      <c r="AN320">
        <f t="shared" si="46"/>
        <v>0</v>
      </c>
      <c r="AO320">
        <f t="shared" si="47"/>
        <v>0</v>
      </c>
      <c r="AP320">
        <f t="shared" si="48"/>
        <v>7</v>
      </c>
      <c r="AQ320">
        <f t="shared" si="49"/>
        <v>7</v>
      </c>
    </row>
    <row r="321" spans="1:43" x14ac:dyDescent="0.2">
      <c r="A321">
        <v>299594</v>
      </c>
      <c r="B321" t="s">
        <v>430</v>
      </c>
      <c r="C321" t="s">
        <v>482</v>
      </c>
      <c r="D321" t="s">
        <v>56</v>
      </c>
      <c r="E321" t="s">
        <v>490</v>
      </c>
      <c r="G321">
        <v>12</v>
      </c>
      <c r="I321">
        <v>19</v>
      </c>
      <c r="N321">
        <f t="shared" si="40"/>
        <v>0</v>
      </c>
      <c r="O321">
        <f t="shared" si="41"/>
        <v>31</v>
      </c>
      <c r="Q321">
        <v>11</v>
      </c>
      <c r="V321">
        <v>1</v>
      </c>
      <c r="W321">
        <v>9</v>
      </c>
      <c r="AB321">
        <f t="shared" si="42"/>
        <v>1</v>
      </c>
      <c r="AC321">
        <f t="shared" si="43"/>
        <v>20</v>
      </c>
      <c r="AE321">
        <v>9</v>
      </c>
      <c r="AH321">
        <f t="shared" si="44"/>
        <v>0</v>
      </c>
      <c r="AI321">
        <f t="shared" si="45"/>
        <v>9</v>
      </c>
      <c r="AN321">
        <f t="shared" si="46"/>
        <v>0</v>
      </c>
      <c r="AO321">
        <f t="shared" si="47"/>
        <v>0</v>
      </c>
      <c r="AP321">
        <f t="shared" si="48"/>
        <v>1</v>
      </c>
      <c r="AQ321">
        <f t="shared" si="49"/>
        <v>60</v>
      </c>
    </row>
    <row r="322" spans="1:43" x14ac:dyDescent="0.2">
      <c r="A322">
        <v>630099</v>
      </c>
      <c r="B322" t="s">
        <v>430</v>
      </c>
      <c r="C322" t="s">
        <v>482</v>
      </c>
      <c r="D322" t="s">
        <v>432</v>
      </c>
      <c r="E322" t="s">
        <v>491</v>
      </c>
      <c r="G322">
        <v>7.1</v>
      </c>
      <c r="H322">
        <v>3</v>
      </c>
      <c r="I322">
        <v>26</v>
      </c>
      <c r="K322">
        <v>7</v>
      </c>
      <c r="N322">
        <f t="shared" si="40"/>
        <v>3</v>
      </c>
      <c r="O322">
        <f t="shared" si="41"/>
        <v>40.1</v>
      </c>
      <c r="Q322">
        <v>1</v>
      </c>
      <c r="V322">
        <v>16</v>
      </c>
      <c r="AB322">
        <f t="shared" si="42"/>
        <v>16</v>
      </c>
      <c r="AC322">
        <f t="shared" si="43"/>
        <v>1</v>
      </c>
      <c r="AE322">
        <v>4.5999999999999996</v>
      </c>
      <c r="AH322">
        <f t="shared" si="44"/>
        <v>0</v>
      </c>
      <c r="AI322">
        <f t="shared" si="45"/>
        <v>4.5999999999999996</v>
      </c>
      <c r="AK322">
        <v>11.6</v>
      </c>
      <c r="AL322">
        <v>6</v>
      </c>
      <c r="AM322">
        <v>2</v>
      </c>
      <c r="AN322">
        <f t="shared" si="46"/>
        <v>6</v>
      </c>
      <c r="AO322">
        <f t="shared" si="47"/>
        <v>13.6</v>
      </c>
      <c r="AP322">
        <f t="shared" si="48"/>
        <v>25</v>
      </c>
      <c r="AQ322">
        <f t="shared" si="49"/>
        <v>59.300000000000004</v>
      </c>
    </row>
    <row r="323" spans="1:43" x14ac:dyDescent="0.2">
      <c r="A323">
        <v>369877</v>
      </c>
      <c r="B323" t="s">
        <v>430</v>
      </c>
      <c r="C323" t="s">
        <v>482</v>
      </c>
      <c r="D323" t="s">
        <v>432</v>
      </c>
      <c r="E323" t="s">
        <v>492</v>
      </c>
      <c r="N323">
        <f t="shared" ref="N323:N369" si="50">SUM(F323,H323,J323,L323)</f>
        <v>0</v>
      </c>
      <c r="O323">
        <f t="shared" ref="O323:O369" si="51">SUM(G323,I323,K323,M323)</f>
        <v>0</v>
      </c>
      <c r="AB323">
        <f t="shared" ref="AB323:AB369" si="52">SUM(P323,R323,T323,V323,X323,Z323)</f>
        <v>0</v>
      </c>
      <c r="AC323">
        <f t="shared" ref="AC323:AC369" si="53">SUM(Q323,S323,U323,W323,Y323,AA323)</f>
        <v>0</v>
      </c>
      <c r="AH323">
        <f t="shared" ref="AH323:AH369" si="54">SUM(AD323,AF323)</f>
        <v>0</v>
      </c>
      <c r="AI323">
        <f t="shared" ref="AI323:AI369" si="55">SUM(AE323,AG323)</f>
        <v>0</v>
      </c>
      <c r="AN323">
        <f t="shared" ref="AN323:AN369" si="56">SUM(AJ323,AL323)</f>
        <v>0</v>
      </c>
      <c r="AO323">
        <f t="shared" ref="AO323:AO369" si="57">SUM(AK323,AM323)</f>
        <v>0</v>
      </c>
      <c r="AP323">
        <f t="shared" ref="AP323:AP369" si="58">SUM(N323,AB323,AH323,AN323)</f>
        <v>0</v>
      </c>
      <c r="AQ323">
        <f t="shared" ref="AQ323:AQ369" si="59">SUM(O323,AC323,AI323,AO323)</f>
        <v>0</v>
      </c>
    </row>
    <row r="324" spans="1:43" x14ac:dyDescent="0.2">
      <c r="A324">
        <v>3156821</v>
      </c>
      <c r="B324" t="s">
        <v>430</v>
      </c>
      <c r="C324" t="s">
        <v>482</v>
      </c>
      <c r="D324" t="s">
        <v>432</v>
      </c>
      <c r="E324" t="s">
        <v>493</v>
      </c>
      <c r="G324">
        <v>3.3</v>
      </c>
      <c r="K324">
        <v>4</v>
      </c>
      <c r="N324">
        <f t="shared" si="50"/>
        <v>0</v>
      </c>
      <c r="O324">
        <f t="shared" si="51"/>
        <v>7.3</v>
      </c>
      <c r="AB324">
        <f t="shared" si="52"/>
        <v>0</v>
      </c>
      <c r="AC324">
        <f t="shared" si="53"/>
        <v>0</v>
      </c>
      <c r="AH324">
        <f t="shared" si="54"/>
        <v>0</v>
      </c>
      <c r="AI324">
        <f t="shared" si="55"/>
        <v>0</v>
      </c>
      <c r="AK324">
        <v>1</v>
      </c>
      <c r="AM324">
        <v>1</v>
      </c>
      <c r="AN324">
        <f t="shared" si="56"/>
        <v>0</v>
      </c>
      <c r="AO324">
        <f t="shared" si="57"/>
        <v>2</v>
      </c>
      <c r="AP324">
        <f t="shared" si="58"/>
        <v>0</v>
      </c>
      <c r="AQ324">
        <f t="shared" si="59"/>
        <v>9.3000000000000007</v>
      </c>
    </row>
    <row r="325" spans="1:43" x14ac:dyDescent="0.2">
      <c r="A325">
        <v>674349</v>
      </c>
      <c r="B325" t="s">
        <v>430</v>
      </c>
      <c r="C325" t="s">
        <v>482</v>
      </c>
      <c r="D325" t="s">
        <v>432</v>
      </c>
      <c r="E325" t="s">
        <v>494</v>
      </c>
      <c r="G325">
        <v>2.6</v>
      </c>
      <c r="I325">
        <v>10</v>
      </c>
      <c r="N325">
        <f t="shared" si="50"/>
        <v>0</v>
      </c>
      <c r="O325">
        <f t="shared" si="51"/>
        <v>12.6</v>
      </c>
      <c r="Q325">
        <v>1</v>
      </c>
      <c r="V325">
        <v>1</v>
      </c>
      <c r="W325">
        <v>1</v>
      </c>
      <c r="AB325">
        <f t="shared" si="52"/>
        <v>1</v>
      </c>
      <c r="AC325">
        <f t="shared" si="53"/>
        <v>2</v>
      </c>
      <c r="AH325">
        <f t="shared" si="54"/>
        <v>0</v>
      </c>
      <c r="AI325">
        <f t="shared" si="55"/>
        <v>0</v>
      </c>
      <c r="AN325">
        <f t="shared" si="56"/>
        <v>0</v>
      </c>
      <c r="AO325">
        <f t="shared" si="57"/>
        <v>0</v>
      </c>
      <c r="AP325">
        <f t="shared" si="58"/>
        <v>1</v>
      </c>
      <c r="AQ325">
        <f t="shared" si="59"/>
        <v>14.6</v>
      </c>
    </row>
    <row r="326" spans="1:43" x14ac:dyDescent="0.2">
      <c r="A326">
        <v>362167</v>
      </c>
      <c r="B326" t="s">
        <v>430</v>
      </c>
      <c r="C326" t="s">
        <v>482</v>
      </c>
      <c r="D326" t="s">
        <v>495</v>
      </c>
      <c r="E326" t="s">
        <v>496</v>
      </c>
      <c r="N326">
        <f t="shared" si="50"/>
        <v>0</v>
      </c>
      <c r="O326">
        <f t="shared" si="51"/>
        <v>0</v>
      </c>
      <c r="AB326">
        <f t="shared" si="52"/>
        <v>0</v>
      </c>
      <c r="AC326">
        <f t="shared" si="53"/>
        <v>0</v>
      </c>
      <c r="AH326">
        <f t="shared" si="54"/>
        <v>0</v>
      </c>
      <c r="AI326">
        <f t="shared" si="55"/>
        <v>0</v>
      </c>
      <c r="AN326">
        <f t="shared" si="56"/>
        <v>0</v>
      </c>
      <c r="AO326">
        <f t="shared" si="57"/>
        <v>0</v>
      </c>
      <c r="AP326">
        <f t="shared" si="58"/>
        <v>0</v>
      </c>
      <c r="AQ326">
        <f t="shared" si="59"/>
        <v>0</v>
      </c>
    </row>
    <row r="327" spans="1:43" x14ac:dyDescent="0.2">
      <c r="A327">
        <v>252549</v>
      </c>
      <c r="B327" t="s">
        <v>430</v>
      </c>
      <c r="C327" t="s">
        <v>482</v>
      </c>
      <c r="D327" t="s">
        <v>432</v>
      </c>
      <c r="E327" t="s">
        <v>497</v>
      </c>
      <c r="I327">
        <v>3</v>
      </c>
      <c r="N327">
        <f t="shared" si="50"/>
        <v>0</v>
      </c>
      <c r="O327">
        <f t="shared" si="51"/>
        <v>3</v>
      </c>
      <c r="AB327">
        <f t="shared" si="52"/>
        <v>0</v>
      </c>
      <c r="AC327">
        <f t="shared" si="53"/>
        <v>0</v>
      </c>
      <c r="AH327">
        <f t="shared" si="54"/>
        <v>0</v>
      </c>
      <c r="AI327">
        <f t="shared" si="55"/>
        <v>0</v>
      </c>
      <c r="AN327">
        <f t="shared" si="56"/>
        <v>0</v>
      </c>
      <c r="AO327">
        <f t="shared" si="57"/>
        <v>0</v>
      </c>
      <c r="AP327">
        <f t="shared" si="58"/>
        <v>0</v>
      </c>
      <c r="AQ327">
        <f t="shared" si="59"/>
        <v>3</v>
      </c>
    </row>
    <row r="328" spans="1:43" x14ac:dyDescent="0.2">
      <c r="A328">
        <v>2181521</v>
      </c>
      <c r="B328" t="s">
        <v>430</v>
      </c>
      <c r="C328" t="s">
        <v>482</v>
      </c>
      <c r="D328" t="s">
        <v>498</v>
      </c>
      <c r="E328" t="s">
        <v>499</v>
      </c>
      <c r="G328">
        <v>3.4</v>
      </c>
      <c r="I328">
        <v>9</v>
      </c>
      <c r="N328">
        <f t="shared" si="50"/>
        <v>0</v>
      </c>
      <c r="O328">
        <f t="shared" si="51"/>
        <v>12.4</v>
      </c>
      <c r="AB328">
        <f t="shared" si="52"/>
        <v>0</v>
      </c>
      <c r="AC328">
        <f t="shared" si="53"/>
        <v>0</v>
      </c>
      <c r="AH328">
        <f t="shared" si="54"/>
        <v>0</v>
      </c>
      <c r="AI328">
        <f t="shared" si="55"/>
        <v>0</v>
      </c>
      <c r="AK328">
        <v>4</v>
      </c>
      <c r="AM328">
        <v>5</v>
      </c>
      <c r="AN328">
        <f t="shared" si="56"/>
        <v>0</v>
      </c>
      <c r="AO328">
        <f t="shared" si="57"/>
        <v>9</v>
      </c>
      <c r="AP328">
        <f t="shared" si="58"/>
        <v>0</v>
      </c>
      <c r="AQ328">
        <f t="shared" si="59"/>
        <v>21.4</v>
      </c>
    </row>
    <row r="329" spans="1:43" x14ac:dyDescent="0.2">
      <c r="A329">
        <v>4990036</v>
      </c>
      <c r="B329" t="s">
        <v>430</v>
      </c>
      <c r="C329" t="s">
        <v>500</v>
      </c>
      <c r="D329" t="s">
        <v>438</v>
      </c>
      <c r="E329" t="s">
        <v>501</v>
      </c>
      <c r="N329">
        <f t="shared" si="50"/>
        <v>0</v>
      </c>
      <c r="O329">
        <f t="shared" si="51"/>
        <v>0</v>
      </c>
      <c r="AB329">
        <f t="shared" si="52"/>
        <v>0</v>
      </c>
      <c r="AC329">
        <f t="shared" si="53"/>
        <v>0</v>
      </c>
      <c r="AH329">
        <f t="shared" si="54"/>
        <v>0</v>
      </c>
      <c r="AI329">
        <f t="shared" si="55"/>
        <v>0</v>
      </c>
      <c r="AN329">
        <f t="shared" si="56"/>
        <v>0</v>
      </c>
      <c r="AO329">
        <f t="shared" si="57"/>
        <v>0</v>
      </c>
      <c r="AP329">
        <f t="shared" si="58"/>
        <v>0</v>
      </c>
      <c r="AQ329">
        <f t="shared" si="59"/>
        <v>0</v>
      </c>
    </row>
    <row r="330" spans="1:43" x14ac:dyDescent="0.2">
      <c r="A330">
        <v>252535</v>
      </c>
      <c r="B330" t="s">
        <v>430</v>
      </c>
      <c r="C330" t="s">
        <v>500</v>
      </c>
      <c r="D330" t="s">
        <v>432</v>
      </c>
      <c r="E330" t="s">
        <v>502</v>
      </c>
      <c r="N330">
        <f t="shared" si="50"/>
        <v>0</v>
      </c>
      <c r="O330">
        <f t="shared" si="51"/>
        <v>0</v>
      </c>
      <c r="AB330">
        <f t="shared" si="52"/>
        <v>0</v>
      </c>
      <c r="AC330">
        <f t="shared" si="53"/>
        <v>0</v>
      </c>
      <c r="AH330">
        <f t="shared" si="54"/>
        <v>0</v>
      </c>
      <c r="AI330">
        <f t="shared" si="55"/>
        <v>0</v>
      </c>
      <c r="AN330">
        <f t="shared" si="56"/>
        <v>0</v>
      </c>
      <c r="AO330">
        <f t="shared" si="57"/>
        <v>0</v>
      </c>
      <c r="AP330">
        <f t="shared" si="58"/>
        <v>0</v>
      </c>
      <c r="AQ330">
        <f t="shared" si="59"/>
        <v>0</v>
      </c>
    </row>
    <row r="331" spans="1:43" x14ac:dyDescent="0.2">
      <c r="A331">
        <v>4847725</v>
      </c>
      <c r="B331" t="s">
        <v>430</v>
      </c>
      <c r="C331" t="s">
        <v>500</v>
      </c>
      <c r="D331" t="s">
        <v>432</v>
      </c>
      <c r="E331" t="s">
        <v>503</v>
      </c>
      <c r="N331">
        <f t="shared" si="50"/>
        <v>0</v>
      </c>
      <c r="O331">
        <f t="shared" si="51"/>
        <v>0</v>
      </c>
      <c r="AB331">
        <f t="shared" si="52"/>
        <v>0</v>
      </c>
      <c r="AC331">
        <f t="shared" si="53"/>
        <v>0</v>
      </c>
      <c r="AH331">
        <f t="shared" si="54"/>
        <v>0</v>
      </c>
      <c r="AI331">
        <f t="shared" si="55"/>
        <v>0</v>
      </c>
      <c r="AN331">
        <f t="shared" si="56"/>
        <v>0</v>
      </c>
      <c r="AO331">
        <f t="shared" si="57"/>
        <v>0</v>
      </c>
      <c r="AP331">
        <f t="shared" si="58"/>
        <v>0</v>
      </c>
      <c r="AQ331">
        <f t="shared" si="59"/>
        <v>0</v>
      </c>
    </row>
    <row r="332" spans="1:43" x14ac:dyDescent="0.2">
      <c r="A332">
        <v>2199484</v>
      </c>
      <c r="B332" t="s">
        <v>430</v>
      </c>
      <c r="C332" t="s">
        <v>500</v>
      </c>
      <c r="D332" t="s">
        <v>432</v>
      </c>
      <c r="E332" t="s">
        <v>504</v>
      </c>
      <c r="N332">
        <f t="shared" si="50"/>
        <v>0</v>
      </c>
      <c r="O332">
        <f t="shared" si="51"/>
        <v>0</v>
      </c>
      <c r="AB332">
        <f t="shared" si="52"/>
        <v>0</v>
      </c>
      <c r="AC332">
        <f t="shared" si="53"/>
        <v>0</v>
      </c>
      <c r="AG332">
        <v>0.2</v>
      </c>
      <c r="AH332">
        <f t="shared" si="54"/>
        <v>0</v>
      </c>
      <c r="AI332">
        <f t="shared" si="55"/>
        <v>0.2</v>
      </c>
      <c r="AN332">
        <f t="shared" si="56"/>
        <v>0</v>
      </c>
      <c r="AO332">
        <f t="shared" si="57"/>
        <v>0</v>
      </c>
      <c r="AP332">
        <f t="shared" si="58"/>
        <v>0</v>
      </c>
      <c r="AQ332">
        <f t="shared" si="59"/>
        <v>0.2</v>
      </c>
    </row>
    <row r="333" spans="1:43" x14ac:dyDescent="0.2">
      <c r="A333">
        <v>6836159</v>
      </c>
      <c r="B333" t="s">
        <v>430</v>
      </c>
      <c r="C333" t="s">
        <v>500</v>
      </c>
      <c r="D333" t="s">
        <v>432</v>
      </c>
      <c r="E333" t="s">
        <v>505</v>
      </c>
      <c r="I333">
        <v>4</v>
      </c>
      <c r="K333">
        <v>2</v>
      </c>
      <c r="N333">
        <f t="shared" si="50"/>
        <v>0</v>
      </c>
      <c r="O333">
        <f t="shared" si="51"/>
        <v>6</v>
      </c>
      <c r="AB333">
        <f t="shared" si="52"/>
        <v>0</v>
      </c>
      <c r="AC333">
        <f t="shared" si="53"/>
        <v>0</v>
      </c>
      <c r="AH333">
        <f t="shared" si="54"/>
        <v>0</v>
      </c>
      <c r="AI333">
        <f t="shared" si="55"/>
        <v>0</v>
      </c>
      <c r="AK333">
        <v>4</v>
      </c>
      <c r="AM333">
        <v>3</v>
      </c>
      <c r="AN333">
        <f t="shared" si="56"/>
        <v>0</v>
      </c>
      <c r="AO333">
        <f t="shared" si="57"/>
        <v>7</v>
      </c>
      <c r="AP333">
        <f t="shared" si="58"/>
        <v>0</v>
      </c>
      <c r="AQ333">
        <f t="shared" si="59"/>
        <v>13</v>
      </c>
    </row>
    <row r="334" spans="1:43" x14ac:dyDescent="0.2">
      <c r="A334">
        <v>3581638</v>
      </c>
      <c r="B334" t="s">
        <v>430</v>
      </c>
      <c r="C334" t="s">
        <v>500</v>
      </c>
      <c r="D334" t="s">
        <v>359</v>
      </c>
      <c r="E334" t="s">
        <v>506</v>
      </c>
      <c r="N334">
        <f t="shared" si="50"/>
        <v>0</v>
      </c>
      <c r="O334">
        <f t="shared" si="51"/>
        <v>0</v>
      </c>
      <c r="AB334">
        <f t="shared" si="52"/>
        <v>0</v>
      </c>
      <c r="AC334">
        <f t="shared" si="53"/>
        <v>0</v>
      </c>
      <c r="AH334">
        <f t="shared" si="54"/>
        <v>0</v>
      </c>
      <c r="AI334">
        <f t="shared" si="55"/>
        <v>0</v>
      </c>
      <c r="AN334">
        <f t="shared" si="56"/>
        <v>0</v>
      </c>
      <c r="AO334">
        <f t="shared" si="57"/>
        <v>0</v>
      </c>
      <c r="AP334">
        <f t="shared" si="58"/>
        <v>0</v>
      </c>
      <c r="AQ334">
        <f t="shared" si="59"/>
        <v>0</v>
      </c>
    </row>
    <row r="335" spans="1:43" x14ac:dyDescent="0.2">
      <c r="A335">
        <v>4534996</v>
      </c>
      <c r="B335" t="s">
        <v>430</v>
      </c>
      <c r="C335" t="s">
        <v>500</v>
      </c>
      <c r="D335" t="s">
        <v>498</v>
      </c>
      <c r="E335" t="s">
        <v>507</v>
      </c>
      <c r="I335">
        <v>1</v>
      </c>
      <c r="K335">
        <v>1</v>
      </c>
      <c r="N335">
        <f t="shared" si="50"/>
        <v>0</v>
      </c>
      <c r="O335">
        <f t="shared" si="51"/>
        <v>2</v>
      </c>
      <c r="AB335">
        <f t="shared" si="52"/>
        <v>0</v>
      </c>
      <c r="AC335">
        <f t="shared" si="53"/>
        <v>0</v>
      </c>
      <c r="AH335">
        <f t="shared" si="54"/>
        <v>0</v>
      </c>
      <c r="AI335">
        <f t="shared" si="55"/>
        <v>0</v>
      </c>
      <c r="AN335">
        <f t="shared" si="56"/>
        <v>0</v>
      </c>
      <c r="AO335">
        <f t="shared" si="57"/>
        <v>0</v>
      </c>
      <c r="AP335">
        <f t="shared" si="58"/>
        <v>0</v>
      </c>
      <c r="AQ335">
        <f t="shared" si="59"/>
        <v>2</v>
      </c>
    </row>
    <row r="336" spans="1:43" x14ac:dyDescent="0.2">
      <c r="A336">
        <v>994808</v>
      </c>
      <c r="B336" t="s">
        <v>430</v>
      </c>
      <c r="C336" t="s">
        <v>500</v>
      </c>
      <c r="D336" t="s">
        <v>498</v>
      </c>
      <c r="E336" t="s">
        <v>508</v>
      </c>
      <c r="N336">
        <f t="shared" si="50"/>
        <v>0</v>
      </c>
      <c r="O336">
        <f t="shared" si="51"/>
        <v>0</v>
      </c>
      <c r="AB336">
        <f t="shared" si="52"/>
        <v>0</v>
      </c>
      <c r="AC336">
        <f t="shared" si="53"/>
        <v>0</v>
      </c>
      <c r="AH336">
        <f t="shared" si="54"/>
        <v>0</v>
      </c>
      <c r="AI336">
        <f t="shared" si="55"/>
        <v>0</v>
      </c>
      <c r="AN336">
        <f t="shared" si="56"/>
        <v>0</v>
      </c>
      <c r="AO336">
        <f t="shared" si="57"/>
        <v>0</v>
      </c>
      <c r="AP336">
        <f t="shared" si="58"/>
        <v>0</v>
      </c>
      <c r="AQ336">
        <f t="shared" si="59"/>
        <v>0</v>
      </c>
    </row>
    <row r="337" spans="1:43" x14ac:dyDescent="0.2">
      <c r="A337">
        <v>388479</v>
      </c>
      <c r="B337" t="s">
        <v>430</v>
      </c>
      <c r="C337" t="s">
        <v>500</v>
      </c>
      <c r="D337" t="s">
        <v>432</v>
      </c>
      <c r="E337" t="s">
        <v>509</v>
      </c>
      <c r="N337">
        <f t="shared" si="50"/>
        <v>0</v>
      </c>
      <c r="O337">
        <f t="shared" si="51"/>
        <v>0</v>
      </c>
      <c r="AB337">
        <f t="shared" si="52"/>
        <v>0</v>
      </c>
      <c r="AC337">
        <f t="shared" si="53"/>
        <v>0</v>
      </c>
      <c r="AH337">
        <f t="shared" si="54"/>
        <v>0</v>
      </c>
      <c r="AI337">
        <f t="shared" si="55"/>
        <v>0</v>
      </c>
      <c r="AN337">
        <f t="shared" si="56"/>
        <v>0</v>
      </c>
      <c r="AO337">
        <f t="shared" si="57"/>
        <v>0</v>
      </c>
      <c r="AP337">
        <f t="shared" si="58"/>
        <v>0</v>
      </c>
      <c r="AQ337">
        <f t="shared" si="59"/>
        <v>0</v>
      </c>
    </row>
    <row r="338" spans="1:43" x14ac:dyDescent="0.2">
      <c r="A338">
        <v>7227646</v>
      </c>
      <c r="B338" t="s">
        <v>430</v>
      </c>
      <c r="C338" t="s">
        <v>500</v>
      </c>
      <c r="D338" t="s">
        <v>432</v>
      </c>
      <c r="E338" t="s">
        <v>510</v>
      </c>
      <c r="N338">
        <f t="shared" si="50"/>
        <v>0</v>
      </c>
      <c r="O338">
        <f t="shared" si="51"/>
        <v>0</v>
      </c>
      <c r="AB338">
        <f t="shared" si="52"/>
        <v>0</v>
      </c>
      <c r="AC338">
        <f t="shared" si="53"/>
        <v>0</v>
      </c>
      <c r="AG338">
        <v>3</v>
      </c>
      <c r="AH338">
        <f t="shared" si="54"/>
        <v>0</v>
      </c>
      <c r="AI338">
        <f t="shared" si="55"/>
        <v>3</v>
      </c>
      <c r="AN338">
        <f t="shared" si="56"/>
        <v>0</v>
      </c>
      <c r="AO338">
        <f t="shared" si="57"/>
        <v>0</v>
      </c>
      <c r="AP338">
        <f t="shared" si="58"/>
        <v>0</v>
      </c>
      <c r="AQ338">
        <f t="shared" si="59"/>
        <v>3</v>
      </c>
    </row>
    <row r="339" spans="1:43" x14ac:dyDescent="0.2">
      <c r="A339">
        <v>6951934</v>
      </c>
      <c r="B339" t="s">
        <v>430</v>
      </c>
      <c r="C339" t="s">
        <v>500</v>
      </c>
      <c r="D339" t="s">
        <v>438</v>
      </c>
      <c r="E339" t="s">
        <v>511</v>
      </c>
      <c r="I339">
        <v>1</v>
      </c>
      <c r="K339">
        <v>3</v>
      </c>
      <c r="N339">
        <f t="shared" si="50"/>
        <v>0</v>
      </c>
      <c r="O339">
        <f t="shared" si="51"/>
        <v>4</v>
      </c>
      <c r="AB339">
        <f t="shared" si="52"/>
        <v>0</v>
      </c>
      <c r="AC339">
        <f t="shared" si="53"/>
        <v>0</v>
      </c>
      <c r="AH339">
        <f t="shared" si="54"/>
        <v>0</v>
      </c>
      <c r="AI339">
        <f t="shared" si="55"/>
        <v>0</v>
      </c>
      <c r="AN339">
        <f t="shared" si="56"/>
        <v>0</v>
      </c>
      <c r="AO339">
        <f t="shared" si="57"/>
        <v>0</v>
      </c>
      <c r="AP339">
        <f t="shared" si="58"/>
        <v>0</v>
      </c>
      <c r="AQ339">
        <f t="shared" si="59"/>
        <v>4</v>
      </c>
    </row>
    <row r="340" spans="1:43" x14ac:dyDescent="0.2">
      <c r="A340">
        <v>6823498</v>
      </c>
      <c r="B340" t="s">
        <v>430</v>
      </c>
      <c r="C340" t="s">
        <v>500</v>
      </c>
      <c r="D340" t="s">
        <v>432</v>
      </c>
      <c r="E340" t="s">
        <v>512</v>
      </c>
      <c r="G340">
        <v>4</v>
      </c>
      <c r="I340">
        <v>12</v>
      </c>
      <c r="K340">
        <v>1</v>
      </c>
      <c r="N340">
        <f t="shared" si="50"/>
        <v>0</v>
      </c>
      <c r="O340">
        <f t="shared" si="51"/>
        <v>17</v>
      </c>
      <c r="AB340">
        <f t="shared" si="52"/>
        <v>0</v>
      </c>
      <c r="AC340">
        <f t="shared" si="53"/>
        <v>0</v>
      </c>
      <c r="AH340">
        <f t="shared" si="54"/>
        <v>0</v>
      </c>
      <c r="AI340">
        <f t="shared" si="55"/>
        <v>0</v>
      </c>
      <c r="AK340">
        <v>5.2</v>
      </c>
      <c r="AL340">
        <v>4</v>
      </c>
      <c r="AM340">
        <v>2</v>
      </c>
      <c r="AN340">
        <f t="shared" si="56"/>
        <v>4</v>
      </c>
      <c r="AO340">
        <f t="shared" si="57"/>
        <v>7.2</v>
      </c>
      <c r="AP340">
        <f t="shared" si="58"/>
        <v>4</v>
      </c>
      <c r="AQ340">
        <f t="shared" si="59"/>
        <v>24.2</v>
      </c>
    </row>
    <row r="341" spans="1:43" x14ac:dyDescent="0.2">
      <c r="A341">
        <v>6766806</v>
      </c>
      <c r="B341" t="s">
        <v>430</v>
      </c>
      <c r="C341" t="s">
        <v>500</v>
      </c>
      <c r="D341" t="s">
        <v>432</v>
      </c>
      <c r="E341" t="s">
        <v>513</v>
      </c>
      <c r="G341">
        <v>3.1</v>
      </c>
      <c r="I341">
        <v>17</v>
      </c>
      <c r="N341">
        <f t="shared" si="50"/>
        <v>0</v>
      </c>
      <c r="O341">
        <f t="shared" si="51"/>
        <v>20.100000000000001</v>
      </c>
      <c r="Q341">
        <v>3</v>
      </c>
      <c r="V341">
        <v>1</v>
      </c>
      <c r="AB341">
        <f t="shared" si="52"/>
        <v>1</v>
      </c>
      <c r="AC341">
        <f t="shared" si="53"/>
        <v>3</v>
      </c>
      <c r="AH341">
        <f t="shared" si="54"/>
        <v>0</v>
      </c>
      <c r="AI341">
        <f t="shared" si="55"/>
        <v>0</v>
      </c>
      <c r="AN341">
        <f t="shared" si="56"/>
        <v>0</v>
      </c>
      <c r="AO341">
        <f t="shared" si="57"/>
        <v>0</v>
      </c>
      <c r="AP341">
        <f t="shared" si="58"/>
        <v>1</v>
      </c>
      <c r="AQ341">
        <f t="shared" si="59"/>
        <v>23.1</v>
      </c>
    </row>
    <row r="342" spans="1:43" x14ac:dyDescent="0.2">
      <c r="A342">
        <v>7818854</v>
      </c>
      <c r="B342" t="s">
        <v>430</v>
      </c>
      <c r="C342" t="s">
        <v>500</v>
      </c>
      <c r="D342" t="s">
        <v>438</v>
      </c>
      <c r="E342" t="s">
        <v>514</v>
      </c>
      <c r="N342">
        <f t="shared" si="50"/>
        <v>0</v>
      </c>
      <c r="O342">
        <f t="shared" si="51"/>
        <v>0</v>
      </c>
      <c r="AB342">
        <f t="shared" si="52"/>
        <v>0</v>
      </c>
      <c r="AC342">
        <f t="shared" si="53"/>
        <v>0</v>
      </c>
      <c r="AH342">
        <f t="shared" si="54"/>
        <v>0</v>
      </c>
      <c r="AI342">
        <f t="shared" si="55"/>
        <v>0</v>
      </c>
      <c r="AN342">
        <f t="shared" si="56"/>
        <v>0</v>
      </c>
      <c r="AO342">
        <f t="shared" si="57"/>
        <v>0</v>
      </c>
      <c r="AP342">
        <f t="shared" si="58"/>
        <v>0</v>
      </c>
      <c r="AQ342">
        <f t="shared" si="59"/>
        <v>0</v>
      </c>
    </row>
    <row r="343" spans="1:43" x14ac:dyDescent="0.2">
      <c r="A343">
        <v>815485</v>
      </c>
      <c r="B343" t="s">
        <v>430</v>
      </c>
      <c r="C343" t="s">
        <v>500</v>
      </c>
      <c r="D343" t="s">
        <v>438</v>
      </c>
      <c r="E343" t="s">
        <v>515</v>
      </c>
      <c r="G343">
        <v>7.3</v>
      </c>
      <c r="I343">
        <v>20</v>
      </c>
      <c r="K343">
        <v>8</v>
      </c>
      <c r="N343">
        <f t="shared" si="50"/>
        <v>0</v>
      </c>
      <c r="O343">
        <f t="shared" si="51"/>
        <v>35.299999999999997</v>
      </c>
      <c r="Q343">
        <v>5.6</v>
      </c>
      <c r="V343">
        <v>11</v>
      </c>
      <c r="W343">
        <v>10.9</v>
      </c>
      <c r="AB343">
        <f t="shared" si="52"/>
        <v>11</v>
      </c>
      <c r="AC343">
        <f t="shared" si="53"/>
        <v>16.5</v>
      </c>
      <c r="AE343">
        <v>3</v>
      </c>
      <c r="AH343">
        <f t="shared" si="54"/>
        <v>0</v>
      </c>
      <c r="AI343">
        <f t="shared" si="55"/>
        <v>3</v>
      </c>
      <c r="AN343">
        <f t="shared" si="56"/>
        <v>0</v>
      </c>
      <c r="AO343">
        <f t="shared" si="57"/>
        <v>0</v>
      </c>
      <c r="AP343">
        <f t="shared" si="58"/>
        <v>11</v>
      </c>
      <c r="AQ343">
        <f t="shared" si="59"/>
        <v>54.8</v>
      </c>
    </row>
    <row r="344" spans="1:43" x14ac:dyDescent="0.2">
      <c r="A344">
        <v>9303479</v>
      </c>
      <c r="B344" t="s">
        <v>430</v>
      </c>
      <c r="C344" t="s">
        <v>500</v>
      </c>
      <c r="D344" t="s">
        <v>438</v>
      </c>
      <c r="E344" t="s">
        <v>516</v>
      </c>
      <c r="N344">
        <f t="shared" si="50"/>
        <v>0</v>
      </c>
      <c r="O344">
        <f t="shared" si="51"/>
        <v>0</v>
      </c>
      <c r="AB344">
        <f t="shared" si="52"/>
        <v>0</v>
      </c>
      <c r="AC344">
        <f t="shared" si="53"/>
        <v>0</v>
      </c>
      <c r="AH344">
        <f t="shared" si="54"/>
        <v>0</v>
      </c>
      <c r="AI344">
        <f t="shared" si="55"/>
        <v>0</v>
      </c>
      <c r="AN344">
        <f t="shared" si="56"/>
        <v>0</v>
      </c>
      <c r="AO344">
        <f t="shared" si="57"/>
        <v>0</v>
      </c>
      <c r="AP344">
        <f t="shared" si="58"/>
        <v>0</v>
      </c>
      <c r="AQ344">
        <f t="shared" si="59"/>
        <v>0</v>
      </c>
    </row>
    <row r="345" spans="1:43" x14ac:dyDescent="0.2">
      <c r="A345">
        <v>6751001</v>
      </c>
      <c r="B345" t="s">
        <v>430</v>
      </c>
      <c r="C345" t="s">
        <v>500</v>
      </c>
      <c r="D345" t="s">
        <v>432</v>
      </c>
      <c r="E345" t="s">
        <v>517</v>
      </c>
      <c r="N345">
        <f t="shared" si="50"/>
        <v>0</v>
      </c>
      <c r="O345">
        <f t="shared" si="51"/>
        <v>0</v>
      </c>
      <c r="AB345">
        <f t="shared" si="52"/>
        <v>0</v>
      </c>
      <c r="AC345">
        <f t="shared" si="53"/>
        <v>0</v>
      </c>
      <c r="AH345">
        <f t="shared" si="54"/>
        <v>0</v>
      </c>
      <c r="AI345">
        <f t="shared" si="55"/>
        <v>0</v>
      </c>
      <c r="AN345">
        <f t="shared" si="56"/>
        <v>0</v>
      </c>
      <c r="AO345">
        <f t="shared" si="57"/>
        <v>0</v>
      </c>
      <c r="AP345">
        <f t="shared" si="58"/>
        <v>0</v>
      </c>
      <c r="AQ345">
        <f t="shared" si="59"/>
        <v>0</v>
      </c>
    </row>
    <row r="346" spans="1:43" x14ac:dyDescent="0.2">
      <c r="A346">
        <v>8040482</v>
      </c>
      <c r="B346" t="s">
        <v>430</v>
      </c>
      <c r="C346" t="s">
        <v>500</v>
      </c>
      <c r="D346" t="s">
        <v>518</v>
      </c>
      <c r="E346" t="s">
        <v>519</v>
      </c>
      <c r="N346">
        <f t="shared" si="50"/>
        <v>0</v>
      </c>
      <c r="O346">
        <f t="shared" si="51"/>
        <v>0</v>
      </c>
      <c r="AB346">
        <f t="shared" si="52"/>
        <v>0</v>
      </c>
      <c r="AC346">
        <f t="shared" si="53"/>
        <v>0</v>
      </c>
      <c r="AH346">
        <f t="shared" si="54"/>
        <v>0</v>
      </c>
      <c r="AI346">
        <f t="shared" si="55"/>
        <v>0</v>
      </c>
      <c r="AN346">
        <f t="shared" si="56"/>
        <v>0</v>
      </c>
      <c r="AO346">
        <f t="shared" si="57"/>
        <v>0</v>
      </c>
      <c r="AP346">
        <f t="shared" si="58"/>
        <v>0</v>
      </c>
      <c r="AQ346">
        <f t="shared" si="59"/>
        <v>0</v>
      </c>
    </row>
    <row r="347" spans="1:43" x14ac:dyDescent="0.2">
      <c r="A347">
        <v>8040334</v>
      </c>
      <c r="B347" t="s">
        <v>430</v>
      </c>
      <c r="C347" t="s">
        <v>500</v>
      </c>
      <c r="D347" t="s">
        <v>432</v>
      </c>
      <c r="E347" t="s">
        <v>520</v>
      </c>
      <c r="N347">
        <f t="shared" si="50"/>
        <v>0</v>
      </c>
      <c r="O347">
        <f t="shared" si="51"/>
        <v>0</v>
      </c>
      <c r="AB347">
        <f t="shared" si="52"/>
        <v>0</v>
      </c>
      <c r="AC347">
        <f t="shared" si="53"/>
        <v>0</v>
      </c>
      <c r="AH347">
        <f t="shared" si="54"/>
        <v>0</v>
      </c>
      <c r="AI347">
        <f t="shared" si="55"/>
        <v>0</v>
      </c>
      <c r="AN347">
        <f t="shared" si="56"/>
        <v>0</v>
      </c>
      <c r="AO347">
        <f t="shared" si="57"/>
        <v>0</v>
      </c>
      <c r="AP347">
        <f t="shared" si="58"/>
        <v>0</v>
      </c>
      <c r="AQ347">
        <f t="shared" si="59"/>
        <v>0</v>
      </c>
    </row>
    <row r="348" spans="1:43" x14ac:dyDescent="0.2">
      <c r="A348">
        <v>9337533</v>
      </c>
      <c r="B348" t="s">
        <v>430</v>
      </c>
      <c r="C348" t="s">
        <v>500</v>
      </c>
      <c r="D348" t="s">
        <v>498</v>
      </c>
      <c r="E348" t="s">
        <v>521</v>
      </c>
      <c r="I348">
        <v>3</v>
      </c>
      <c r="K348">
        <v>5</v>
      </c>
      <c r="N348">
        <f t="shared" si="50"/>
        <v>0</v>
      </c>
      <c r="O348">
        <f t="shared" si="51"/>
        <v>8</v>
      </c>
      <c r="AB348">
        <f t="shared" si="52"/>
        <v>0</v>
      </c>
      <c r="AC348">
        <f t="shared" si="53"/>
        <v>0</v>
      </c>
      <c r="AH348">
        <f t="shared" si="54"/>
        <v>0</v>
      </c>
      <c r="AI348">
        <f t="shared" si="55"/>
        <v>0</v>
      </c>
      <c r="AN348">
        <f t="shared" si="56"/>
        <v>0</v>
      </c>
      <c r="AO348">
        <f t="shared" si="57"/>
        <v>0</v>
      </c>
      <c r="AP348">
        <f t="shared" si="58"/>
        <v>0</v>
      </c>
      <c r="AQ348">
        <f t="shared" si="59"/>
        <v>8</v>
      </c>
    </row>
    <row r="349" spans="1:43" x14ac:dyDescent="0.2">
      <c r="A349">
        <v>8582451</v>
      </c>
      <c r="B349" t="s">
        <v>430</v>
      </c>
      <c r="C349" t="s">
        <v>500</v>
      </c>
      <c r="D349" t="s">
        <v>438</v>
      </c>
      <c r="E349" t="s">
        <v>522</v>
      </c>
      <c r="G349">
        <v>3.7</v>
      </c>
      <c r="I349">
        <v>14</v>
      </c>
      <c r="K349">
        <v>8</v>
      </c>
      <c r="N349">
        <f t="shared" si="50"/>
        <v>0</v>
      </c>
      <c r="O349">
        <f t="shared" si="51"/>
        <v>25.7</v>
      </c>
      <c r="Q349">
        <v>4</v>
      </c>
      <c r="AB349">
        <f t="shared" si="52"/>
        <v>0</v>
      </c>
      <c r="AC349">
        <f t="shared" si="53"/>
        <v>4</v>
      </c>
      <c r="AE349">
        <v>1.2</v>
      </c>
      <c r="AH349">
        <f t="shared" si="54"/>
        <v>0</v>
      </c>
      <c r="AI349">
        <f t="shared" si="55"/>
        <v>1.2</v>
      </c>
      <c r="AK349">
        <v>7.4</v>
      </c>
      <c r="AL349">
        <v>2</v>
      </c>
      <c r="AM349">
        <v>4</v>
      </c>
      <c r="AN349">
        <f t="shared" si="56"/>
        <v>2</v>
      </c>
      <c r="AO349">
        <f t="shared" si="57"/>
        <v>11.4</v>
      </c>
      <c r="AP349">
        <f t="shared" si="58"/>
        <v>2</v>
      </c>
      <c r="AQ349">
        <f t="shared" si="59"/>
        <v>42.3</v>
      </c>
    </row>
    <row r="350" spans="1:43" x14ac:dyDescent="0.2">
      <c r="A350">
        <v>8040903</v>
      </c>
      <c r="B350" t="s">
        <v>430</v>
      </c>
      <c r="C350" t="s">
        <v>500</v>
      </c>
      <c r="D350" t="s">
        <v>432</v>
      </c>
      <c r="E350" t="s">
        <v>523</v>
      </c>
      <c r="G350">
        <v>7.2</v>
      </c>
      <c r="I350">
        <v>6</v>
      </c>
      <c r="K350">
        <v>8</v>
      </c>
      <c r="N350">
        <f t="shared" si="50"/>
        <v>0</v>
      </c>
      <c r="O350">
        <f t="shared" si="51"/>
        <v>21.2</v>
      </c>
      <c r="Q350">
        <v>0.8</v>
      </c>
      <c r="AB350">
        <f t="shared" si="52"/>
        <v>0</v>
      </c>
      <c r="AC350">
        <f t="shared" si="53"/>
        <v>0.8</v>
      </c>
      <c r="AE350">
        <v>1.2</v>
      </c>
      <c r="AH350">
        <f t="shared" si="54"/>
        <v>0</v>
      </c>
      <c r="AI350">
        <f t="shared" si="55"/>
        <v>1.2</v>
      </c>
      <c r="AN350">
        <f t="shared" si="56"/>
        <v>0</v>
      </c>
      <c r="AO350">
        <f t="shared" si="57"/>
        <v>0</v>
      </c>
      <c r="AP350">
        <f t="shared" si="58"/>
        <v>0</v>
      </c>
      <c r="AQ350">
        <f t="shared" si="59"/>
        <v>23.2</v>
      </c>
    </row>
    <row r="351" spans="1:43" x14ac:dyDescent="0.2">
      <c r="A351">
        <v>9337531</v>
      </c>
      <c r="B351" t="s">
        <v>430</v>
      </c>
      <c r="C351" t="s">
        <v>500</v>
      </c>
      <c r="D351" t="s">
        <v>498</v>
      </c>
      <c r="E351" t="s">
        <v>524</v>
      </c>
      <c r="N351">
        <f t="shared" si="50"/>
        <v>0</v>
      </c>
      <c r="O351">
        <f t="shared" si="51"/>
        <v>0</v>
      </c>
      <c r="AB351">
        <f t="shared" si="52"/>
        <v>0</v>
      </c>
      <c r="AC351">
        <f t="shared" si="53"/>
        <v>0</v>
      </c>
      <c r="AH351">
        <f t="shared" si="54"/>
        <v>0</v>
      </c>
      <c r="AI351">
        <f t="shared" si="55"/>
        <v>0</v>
      </c>
      <c r="AN351">
        <f t="shared" si="56"/>
        <v>0</v>
      </c>
      <c r="AO351">
        <f t="shared" si="57"/>
        <v>0</v>
      </c>
      <c r="AP351">
        <f t="shared" si="58"/>
        <v>0</v>
      </c>
      <c r="AQ351">
        <f t="shared" si="59"/>
        <v>0</v>
      </c>
    </row>
    <row r="352" spans="1:43" x14ac:dyDescent="0.2">
      <c r="A352">
        <v>9337523</v>
      </c>
      <c r="B352" t="s">
        <v>430</v>
      </c>
      <c r="C352" t="s">
        <v>500</v>
      </c>
      <c r="D352" t="s">
        <v>359</v>
      </c>
      <c r="E352" t="s">
        <v>525</v>
      </c>
      <c r="N352">
        <f t="shared" si="50"/>
        <v>0</v>
      </c>
      <c r="O352">
        <f t="shared" si="51"/>
        <v>0</v>
      </c>
      <c r="AB352">
        <f t="shared" si="52"/>
        <v>0</v>
      </c>
      <c r="AC352">
        <f t="shared" si="53"/>
        <v>0</v>
      </c>
      <c r="AH352">
        <f t="shared" si="54"/>
        <v>0</v>
      </c>
      <c r="AI352">
        <f t="shared" si="55"/>
        <v>0</v>
      </c>
      <c r="AN352">
        <f t="shared" si="56"/>
        <v>0</v>
      </c>
      <c r="AO352">
        <f t="shared" si="57"/>
        <v>0</v>
      </c>
      <c r="AP352">
        <f t="shared" si="58"/>
        <v>0</v>
      </c>
      <c r="AQ352">
        <f t="shared" si="59"/>
        <v>0</v>
      </c>
    </row>
    <row r="353" spans="1:43" x14ac:dyDescent="0.2">
      <c r="A353">
        <v>9337537</v>
      </c>
      <c r="B353" t="s">
        <v>430</v>
      </c>
      <c r="C353" t="s">
        <v>500</v>
      </c>
      <c r="D353" t="s">
        <v>432</v>
      </c>
      <c r="E353" t="s">
        <v>526</v>
      </c>
      <c r="G353">
        <v>3.2</v>
      </c>
      <c r="I353">
        <v>3</v>
      </c>
      <c r="K353">
        <v>7</v>
      </c>
      <c r="N353">
        <f t="shared" si="50"/>
        <v>0</v>
      </c>
      <c r="O353">
        <f t="shared" si="51"/>
        <v>13.2</v>
      </c>
      <c r="AB353">
        <f t="shared" si="52"/>
        <v>0</v>
      </c>
      <c r="AC353">
        <f t="shared" si="53"/>
        <v>0</v>
      </c>
      <c r="AH353">
        <f t="shared" si="54"/>
        <v>0</v>
      </c>
      <c r="AI353">
        <f t="shared" si="55"/>
        <v>0</v>
      </c>
      <c r="AN353">
        <f t="shared" si="56"/>
        <v>0</v>
      </c>
      <c r="AO353">
        <f t="shared" si="57"/>
        <v>0</v>
      </c>
      <c r="AP353">
        <f t="shared" si="58"/>
        <v>0</v>
      </c>
      <c r="AQ353">
        <f t="shared" si="59"/>
        <v>13.2</v>
      </c>
    </row>
    <row r="354" spans="1:43" x14ac:dyDescent="0.2">
      <c r="A354">
        <v>8042334</v>
      </c>
      <c r="B354" t="s">
        <v>430</v>
      </c>
      <c r="C354" t="s">
        <v>500</v>
      </c>
      <c r="D354" t="s">
        <v>438</v>
      </c>
      <c r="E354" t="s">
        <v>527</v>
      </c>
      <c r="G354">
        <v>6.5</v>
      </c>
      <c r="I354">
        <v>7</v>
      </c>
      <c r="K354">
        <v>8</v>
      </c>
      <c r="N354">
        <f t="shared" si="50"/>
        <v>0</v>
      </c>
      <c r="O354">
        <f t="shared" si="51"/>
        <v>21.5</v>
      </c>
      <c r="Q354">
        <v>2.7</v>
      </c>
      <c r="AB354">
        <f t="shared" si="52"/>
        <v>0</v>
      </c>
      <c r="AC354">
        <f t="shared" si="53"/>
        <v>2.7</v>
      </c>
      <c r="AE354">
        <v>1</v>
      </c>
      <c r="AH354">
        <f t="shared" si="54"/>
        <v>0</v>
      </c>
      <c r="AI354">
        <f t="shared" si="55"/>
        <v>1</v>
      </c>
      <c r="AK354">
        <v>7.6</v>
      </c>
      <c r="AL354">
        <v>1</v>
      </c>
      <c r="AM354">
        <v>4</v>
      </c>
      <c r="AN354">
        <f t="shared" si="56"/>
        <v>1</v>
      </c>
      <c r="AO354">
        <f t="shared" si="57"/>
        <v>11.6</v>
      </c>
      <c r="AP354">
        <f t="shared" si="58"/>
        <v>1</v>
      </c>
      <c r="AQ354">
        <f t="shared" si="59"/>
        <v>36.799999999999997</v>
      </c>
    </row>
    <row r="355" spans="1:43" x14ac:dyDescent="0.2">
      <c r="A355">
        <v>1880465</v>
      </c>
      <c r="B355" t="s">
        <v>430</v>
      </c>
      <c r="C355" t="s">
        <v>500</v>
      </c>
      <c r="D355" t="s">
        <v>432</v>
      </c>
      <c r="E355" t="s">
        <v>528</v>
      </c>
      <c r="G355">
        <v>2.7</v>
      </c>
      <c r="I355">
        <v>8</v>
      </c>
      <c r="K355">
        <v>12</v>
      </c>
      <c r="N355">
        <f t="shared" si="50"/>
        <v>0</v>
      </c>
      <c r="O355">
        <f t="shared" si="51"/>
        <v>22.7</v>
      </c>
      <c r="V355">
        <v>3</v>
      </c>
      <c r="AB355">
        <f t="shared" si="52"/>
        <v>3</v>
      </c>
      <c r="AC355">
        <f t="shared" si="53"/>
        <v>0</v>
      </c>
      <c r="AE355">
        <v>3.1</v>
      </c>
      <c r="AH355">
        <f t="shared" si="54"/>
        <v>0</v>
      </c>
      <c r="AI355">
        <f t="shared" si="55"/>
        <v>3.1</v>
      </c>
      <c r="AN355">
        <f t="shared" si="56"/>
        <v>0</v>
      </c>
      <c r="AO355">
        <f t="shared" si="57"/>
        <v>0</v>
      </c>
      <c r="AP355">
        <f t="shared" si="58"/>
        <v>3</v>
      </c>
      <c r="AQ355">
        <f t="shared" si="59"/>
        <v>25.8</v>
      </c>
    </row>
    <row r="356" spans="1:43" x14ac:dyDescent="0.2">
      <c r="B356" t="s">
        <v>430</v>
      </c>
      <c r="C356" t="s">
        <v>500</v>
      </c>
      <c r="D356" t="s">
        <v>432</v>
      </c>
      <c r="E356" t="s">
        <v>529</v>
      </c>
      <c r="G356">
        <v>4</v>
      </c>
      <c r="I356">
        <v>8</v>
      </c>
      <c r="N356">
        <f t="shared" si="50"/>
        <v>0</v>
      </c>
      <c r="O356">
        <f t="shared" si="51"/>
        <v>12</v>
      </c>
      <c r="AB356">
        <f t="shared" si="52"/>
        <v>0</v>
      </c>
      <c r="AC356">
        <f t="shared" si="53"/>
        <v>0</v>
      </c>
      <c r="AH356">
        <f t="shared" si="54"/>
        <v>0</v>
      </c>
      <c r="AI356">
        <f t="shared" si="55"/>
        <v>0</v>
      </c>
      <c r="AN356">
        <f t="shared" si="56"/>
        <v>0</v>
      </c>
      <c r="AO356">
        <f t="shared" si="57"/>
        <v>0</v>
      </c>
      <c r="AP356">
        <f t="shared" si="58"/>
        <v>0</v>
      </c>
      <c r="AQ356">
        <f t="shared" si="59"/>
        <v>12</v>
      </c>
    </row>
    <row r="357" spans="1:43" x14ac:dyDescent="0.2">
      <c r="B357" t="s">
        <v>23</v>
      </c>
      <c r="C357" t="s">
        <v>40</v>
      </c>
      <c r="D357" t="s">
        <v>530</v>
      </c>
      <c r="E357" t="s">
        <v>531</v>
      </c>
      <c r="G357">
        <v>30</v>
      </c>
      <c r="H357">
        <v>6</v>
      </c>
      <c r="I357">
        <v>13</v>
      </c>
      <c r="N357">
        <f t="shared" si="50"/>
        <v>6</v>
      </c>
      <c r="O357">
        <f t="shared" si="51"/>
        <v>43</v>
      </c>
      <c r="AB357">
        <f t="shared" si="52"/>
        <v>0</v>
      </c>
      <c r="AC357">
        <f t="shared" si="53"/>
        <v>0</v>
      </c>
      <c r="AH357">
        <f t="shared" si="54"/>
        <v>0</v>
      </c>
      <c r="AI357">
        <f t="shared" si="55"/>
        <v>0</v>
      </c>
      <c r="AK357">
        <v>29</v>
      </c>
      <c r="AL357">
        <v>2</v>
      </c>
      <c r="AM357">
        <v>2</v>
      </c>
      <c r="AN357">
        <f t="shared" si="56"/>
        <v>2</v>
      </c>
      <c r="AO357">
        <f t="shared" si="57"/>
        <v>31</v>
      </c>
      <c r="AP357">
        <f t="shared" si="58"/>
        <v>8</v>
      </c>
      <c r="AQ357">
        <f t="shared" si="59"/>
        <v>74</v>
      </c>
    </row>
    <row r="358" spans="1:43" x14ac:dyDescent="0.2">
      <c r="B358" t="s">
        <v>94</v>
      </c>
      <c r="C358" t="s">
        <v>95</v>
      </c>
      <c r="D358" t="s">
        <v>107</v>
      </c>
      <c r="E358" t="s">
        <v>532</v>
      </c>
      <c r="I358">
        <v>2.2000000000000002</v>
      </c>
      <c r="N358">
        <f t="shared" si="50"/>
        <v>0</v>
      </c>
      <c r="O358">
        <f t="shared" si="51"/>
        <v>2.2000000000000002</v>
      </c>
      <c r="AB358">
        <f t="shared" si="52"/>
        <v>0</v>
      </c>
      <c r="AC358">
        <f t="shared" si="53"/>
        <v>0</v>
      </c>
      <c r="AH358">
        <f t="shared" si="54"/>
        <v>0</v>
      </c>
      <c r="AI358">
        <f t="shared" si="55"/>
        <v>0</v>
      </c>
      <c r="AN358">
        <f t="shared" si="56"/>
        <v>0</v>
      </c>
      <c r="AO358">
        <f t="shared" si="57"/>
        <v>0</v>
      </c>
      <c r="AP358">
        <f t="shared" si="58"/>
        <v>0</v>
      </c>
      <c r="AQ358">
        <f t="shared" si="59"/>
        <v>2.2000000000000002</v>
      </c>
    </row>
    <row r="359" spans="1:43" x14ac:dyDescent="0.2">
      <c r="B359" t="s">
        <v>267</v>
      </c>
      <c r="C359" t="s">
        <v>283</v>
      </c>
      <c r="D359" t="s">
        <v>53</v>
      </c>
      <c r="E359" t="s">
        <v>533</v>
      </c>
      <c r="G359">
        <v>0.9</v>
      </c>
      <c r="M359">
        <v>1</v>
      </c>
      <c r="N359">
        <f t="shared" si="50"/>
        <v>0</v>
      </c>
      <c r="O359">
        <f t="shared" si="51"/>
        <v>1.9</v>
      </c>
      <c r="AB359">
        <f t="shared" si="52"/>
        <v>0</v>
      </c>
      <c r="AC359">
        <f t="shared" si="53"/>
        <v>0</v>
      </c>
      <c r="AH359">
        <f t="shared" si="54"/>
        <v>0</v>
      </c>
      <c r="AI359">
        <f t="shared" si="55"/>
        <v>0</v>
      </c>
      <c r="AN359">
        <f t="shared" si="56"/>
        <v>0</v>
      </c>
      <c r="AO359">
        <f t="shared" si="57"/>
        <v>0</v>
      </c>
      <c r="AP359">
        <f t="shared" si="58"/>
        <v>0</v>
      </c>
      <c r="AQ359">
        <f t="shared" si="59"/>
        <v>1.9</v>
      </c>
    </row>
    <row r="360" spans="1:43" x14ac:dyDescent="0.2">
      <c r="B360" t="s">
        <v>267</v>
      </c>
      <c r="C360" t="s">
        <v>283</v>
      </c>
      <c r="D360" t="s">
        <v>53</v>
      </c>
      <c r="E360" t="s">
        <v>534</v>
      </c>
      <c r="G360">
        <v>0.3</v>
      </c>
      <c r="M360">
        <v>1</v>
      </c>
      <c r="N360">
        <f t="shared" si="50"/>
        <v>0</v>
      </c>
      <c r="O360">
        <f t="shared" si="51"/>
        <v>1.3</v>
      </c>
      <c r="AB360">
        <f t="shared" si="52"/>
        <v>0</v>
      </c>
      <c r="AC360">
        <f t="shared" si="53"/>
        <v>0</v>
      </c>
      <c r="AH360">
        <f t="shared" si="54"/>
        <v>0</v>
      </c>
      <c r="AI360">
        <f t="shared" si="55"/>
        <v>0</v>
      </c>
      <c r="AN360">
        <f t="shared" si="56"/>
        <v>0</v>
      </c>
      <c r="AO360">
        <f t="shared" si="57"/>
        <v>0</v>
      </c>
      <c r="AP360">
        <f t="shared" si="58"/>
        <v>0</v>
      </c>
      <c r="AQ360">
        <f t="shared" si="59"/>
        <v>1.3</v>
      </c>
    </row>
    <row r="361" spans="1:43" x14ac:dyDescent="0.2">
      <c r="B361" t="s">
        <v>267</v>
      </c>
      <c r="C361" t="s">
        <v>283</v>
      </c>
      <c r="D361" t="s">
        <v>53</v>
      </c>
      <c r="E361" t="s">
        <v>535</v>
      </c>
      <c r="G361">
        <v>0.8</v>
      </c>
      <c r="M361">
        <v>1</v>
      </c>
      <c r="N361">
        <f t="shared" si="50"/>
        <v>0</v>
      </c>
      <c r="O361">
        <f t="shared" si="51"/>
        <v>1.8</v>
      </c>
      <c r="AB361">
        <f t="shared" si="52"/>
        <v>0</v>
      </c>
      <c r="AC361">
        <f t="shared" si="53"/>
        <v>0</v>
      </c>
      <c r="AH361">
        <f t="shared" si="54"/>
        <v>0</v>
      </c>
      <c r="AI361">
        <f t="shared" si="55"/>
        <v>0</v>
      </c>
      <c r="AN361">
        <f t="shared" si="56"/>
        <v>0</v>
      </c>
      <c r="AO361">
        <f t="shared" si="57"/>
        <v>0</v>
      </c>
      <c r="AP361">
        <f t="shared" si="58"/>
        <v>0</v>
      </c>
      <c r="AQ361">
        <f t="shared" si="59"/>
        <v>1.8</v>
      </c>
    </row>
    <row r="362" spans="1:43" x14ac:dyDescent="0.2">
      <c r="B362" t="s">
        <v>267</v>
      </c>
      <c r="C362" t="s">
        <v>283</v>
      </c>
      <c r="D362" t="s">
        <v>53</v>
      </c>
      <c r="E362" t="s">
        <v>536</v>
      </c>
      <c r="G362">
        <v>1.9</v>
      </c>
      <c r="M362">
        <v>3</v>
      </c>
      <c r="N362">
        <f t="shared" si="50"/>
        <v>0</v>
      </c>
      <c r="O362">
        <f t="shared" si="51"/>
        <v>4.9000000000000004</v>
      </c>
      <c r="AB362">
        <f t="shared" si="52"/>
        <v>0</v>
      </c>
      <c r="AC362">
        <f t="shared" si="53"/>
        <v>0</v>
      </c>
      <c r="AH362">
        <f t="shared" si="54"/>
        <v>0</v>
      </c>
      <c r="AI362">
        <f t="shared" si="55"/>
        <v>0</v>
      </c>
      <c r="AN362">
        <f t="shared" si="56"/>
        <v>0</v>
      </c>
      <c r="AO362">
        <f t="shared" si="57"/>
        <v>0</v>
      </c>
      <c r="AP362">
        <f t="shared" si="58"/>
        <v>0</v>
      </c>
      <c r="AQ362">
        <f t="shared" si="59"/>
        <v>4.9000000000000004</v>
      </c>
    </row>
    <row r="363" spans="1:43" x14ac:dyDescent="0.2">
      <c r="B363" t="s">
        <v>267</v>
      </c>
      <c r="C363" t="s">
        <v>296</v>
      </c>
      <c r="D363" t="s">
        <v>72</v>
      </c>
      <c r="E363" t="s">
        <v>537</v>
      </c>
      <c r="G363">
        <v>0.5</v>
      </c>
      <c r="M363">
        <v>1</v>
      </c>
      <c r="N363">
        <f t="shared" si="50"/>
        <v>0</v>
      </c>
      <c r="O363">
        <f t="shared" si="51"/>
        <v>1.5</v>
      </c>
      <c r="AB363">
        <f t="shared" si="52"/>
        <v>0</v>
      </c>
      <c r="AC363">
        <f t="shared" si="53"/>
        <v>0</v>
      </c>
      <c r="AH363">
        <f t="shared" si="54"/>
        <v>0</v>
      </c>
      <c r="AI363">
        <f t="shared" si="55"/>
        <v>0</v>
      </c>
      <c r="AN363">
        <f t="shared" si="56"/>
        <v>0</v>
      </c>
      <c r="AO363">
        <f t="shared" si="57"/>
        <v>0</v>
      </c>
      <c r="AP363">
        <f t="shared" si="58"/>
        <v>0</v>
      </c>
      <c r="AQ363">
        <f t="shared" si="59"/>
        <v>1.5</v>
      </c>
    </row>
    <row r="364" spans="1:43" x14ac:dyDescent="0.2">
      <c r="B364" t="s">
        <v>267</v>
      </c>
      <c r="C364" t="s">
        <v>296</v>
      </c>
      <c r="D364" t="s">
        <v>72</v>
      </c>
      <c r="E364" t="s">
        <v>538</v>
      </c>
      <c r="G364">
        <v>0.7</v>
      </c>
      <c r="M364">
        <v>1</v>
      </c>
      <c r="N364">
        <f t="shared" si="50"/>
        <v>0</v>
      </c>
      <c r="O364">
        <f t="shared" si="51"/>
        <v>1.7</v>
      </c>
      <c r="AB364">
        <f t="shared" si="52"/>
        <v>0</v>
      </c>
      <c r="AC364">
        <f t="shared" si="53"/>
        <v>0</v>
      </c>
      <c r="AH364">
        <f t="shared" si="54"/>
        <v>0</v>
      </c>
      <c r="AI364">
        <f t="shared" si="55"/>
        <v>0</v>
      </c>
      <c r="AN364">
        <f t="shared" si="56"/>
        <v>0</v>
      </c>
      <c r="AO364">
        <f t="shared" si="57"/>
        <v>0</v>
      </c>
      <c r="AP364">
        <f t="shared" si="58"/>
        <v>0</v>
      </c>
      <c r="AQ364">
        <f t="shared" si="59"/>
        <v>1.7</v>
      </c>
    </row>
    <row r="365" spans="1:43" x14ac:dyDescent="0.2">
      <c r="B365" t="s">
        <v>267</v>
      </c>
      <c r="C365" t="s">
        <v>296</v>
      </c>
      <c r="D365" t="s">
        <v>72</v>
      </c>
      <c r="E365" t="s">
        <v>539</v>
      </c>
      <c r="G365">
        <v>0.6</v>
      </c>
      <c r="N365">
        <f t="shared" si="50"/>
        <v>0</v>
      </c>
      <c r="O365">
        <f t="shared" si="51"/>
        <v>0.6</v>
      </c>
      <c r="AB365">
        <f t="shared" si="52"/>
        <v>0</v>
      </c>
      <c r="AC365">
        <f t="shared" si="53"/>
        <v>0</v>
      </c>
      <c r="AH365">
        <f t="shared" si="54"/>
        <v>0</v>
      </c>
      <c r="AI365">
        <f t="shared" si="55"/>
        <v>0</v>
      </c>
      <c r="AN365">
        <f t="shared" si="56"/>
        <v>0</v>
      </c>
      <c r="AO365">
        <f t="shared" si="57"/>
        <v>0</v>
      </c>
      <c r="AP365">
        <f t="shared" si="58"/>
        <v>0</v>
      </c>
      <c r="AQ365">
        <f t="shared" si="59"/>
        <v>0.6</v>
      </c>
    </row>
    <row r="366" spans="1:43" x14ac:dyDescent="0.2">
      <c r="B366" t="s">
        <v>267</v>
      </c>
      <c r="C366" t="s">
        <v>278</v>
      </c>
      <c r="D366" t="s">
        <v>53</v>
      </c>
      <c r="E366" t="s">
        <v>540</v>
      </c>
      <c r="G366">
        <v>0.7</v>
      </c>
      <c r="N366">
        <f t="shared" si="50"/>
        <v>0</v>
      </c>
      <c r="O366">
        <f t="shared" si="51"/>
        <v>0.7</v>
      </c>
      <c r="AB366">
        <f t="shared" si="52"/>
        <v>0</v>
      </c>
      <c r="AC366">
        <f t="shared" si="53"/>
        <v>0</v>
      </c>
      <c r="AH366">
        <f t="shared" si="54"/>
        <v>0</v>
      </c>
      <c r="AI366">
        <f t="shared" si="55"/>
        <v>0</v>
      </c>
      <c r="AN366">
        <f t="shared" si="56"/>
        <v>0</v>
      </c>
      <c r="AO366">
        <f t="shared" si="57"/>
        <v>0</v>
      </c>
      <c r="AP366">
        <f t="shared" si="58"/>
        <v>0</v>
      </c>
      <c r="AQ366">
        <f t="shared" si="59"/>
        <v>0.7</v>
      </c>
    </row>
    <row r="367" spans="1:43" x14ac:dyDescent="0.2">
      <c r="B367" t="s">
        <v>267</v>
      </c>
      <c r="C367" t="s">
        <v>278</v>
      </c>
      <c r="D367" t="s">
        <v>53</v>
      </c>
      <c r="E367" t="s">
        <v>541</v>
      </c>
      <c r="G367">
        <v>0.8</v>
      </c>
      <c r="M367">
        <v>1</v>
      </c>
      <c r="N367">
        <f t="shared" si="50"/>
        <v>0</v>
      </c>
      <c r="O367">
        <f t="shared" si="51"/>
        <v>1.8</v>
      </c>
      <c r="AB367">
        <f t="shared" si="52"/>
        <v>0</v>
      </c>
      <c r="AC367">
        <f t="shared" si="53"/>
        <v>0</v>
      </c>
      <c r="AH367">
        <f t="shared" si="54"/>
        <v>0</v>
      </c>
      <c r="AI367">
        <f t="shared" si="55"/>
        <v>0</v>
      </c>
      <c r="AN367">
        <f t="shared" si="56"/>
        <v>0</v>
      </c>
      <c r="AO367">
        <f t="shared" si="57"/>
        <v>0</v>
      </c>
      <c r="AP367">
        <f t="shared" si="58"/>
        <v>0</v>
      </c>
      <c r="AQ367">
        <f t="shared" si="59"/>
        <v>1.8</v>
      </c>
    </row>
    <row r="368" spans="1:43" x14ac:dyDescent="0.2">
      <c r="B368" t="s">
        <v>267</v>
      </c>
      <c r="C368" t="s">
        <v>278</v>
      </c>
      <c r="D368" t="s">
        <v>53</v>
      </c>
      <c r="E368" t="s">
        <v>542</v>
      </c>
      <c r="G368">
        <v>0.6</v>
      </c>
      <c r="M368">
        <v>2</v>
      </c>
      <c r="N368">
        <f t="shared" si="50"/>
        <v>0</v>
      </c>
      <c r="O368">
        <f t="shared" si="51"/>
        <v>2.6</v>
      </c>
      <c r="AB368">
        <f t="shared" si="52"/>
        <v>0</v>
      </c>
      <c r="AC368">
        <f t="shared" si="53"/>
        <v>0</v>
      </c>
      <c r="AH368">
        <f t="shared" si="54"/>
        <v>0</v>
      </c>
      <c r="AI368">
        <f t="shared" si="55"/>
        <v>0</v>
      </c>
      <c r="AM368">
        <v>2.2999999999999998</v>
      </c>
      <c r="AN368">
        <f t="shared" si="56"/>
        <v>0</v>
      </c>
      <c r="AO368">
        <f t="shared" si="57"/>
        <v>2.2999999999999998</v>
      </c>
      <c r="AP368">
        <f t="shared" si="58"/>
        <v>0</v>
      </c>
      <c r="AQ368">
        <f t="shared" si="59"/>
        <v>4.9000000000000004</v>
      </c>
    </row>
    <row r="369" spans="2:43" x14ac:dyDescent="0.2">
      <c r="B369" t="s">
        <v>94</v>
      </c>
      <c r="C369" t="s">
        <v>95</v>
      </c>
      <c r="D369" t="s">
        <v>112</v>
      </c>
      <c r="E369" t="s">
        <v>543</v>
      </c>
      <c r="I369">
        <v>0.9</v>
      </c>
      <c r="N369">
        <f t="shared" si="50"/>
        <v>0</v>
      </c>
      <c r="O369">
        <f t="shared" si="51"/>
        <v>0.9</v>
      </c>
      <c r="AB369">
        <f t="shared" si="52"/>
        <v>0</v>
      </c>
      <c r="AC369">
        <f t="shared" si="53"/>
        <v>0</v>
      </c>
      <c r="AH369">
        <f t="shared" si="54"/>
        <v>0</v>
      </c>
      <c r="AI369">
        <f t="shared" si="55"/>
        <v>0</v>
      </c>
      <c r="AN369">
        <f t="shared" si="56"/>
        <v>0</v>
      </c>
      <c r="AO369">
        <f t="shared" si="57"/>
        <v>0</v>
      </c>
      <c r="AP369">
        <f t="shared" si="58"/>
        <v>0</v>
      </c>
      <c r="AQ369">
        <f t="shared" si="59"/>
        <v>0.9</v>
      </c>
    </row>
    <row r="370" spans="2:43" x14ac:dyDescent="0.2">
      <c r="B370" t="s">
        <v>267</v>
      </c>
      <c r="C370" t="s">
        <v>278</v>
      </c>
      <c r="E370" t="s">
        <v>544</v>
      </c>
      <c r="G370">
        <v>0.3</v>
      </c>
    </row>
    <row r="371" spans="2:43" x14ac:dyDescent="0.2">
      <c r="B371" t="s">
        <v>94</v>
      </c>
      <c r="C371" t="s">
        <v>95</v>
      </c>
      <c r="E371" t="s">
        <v>545</v>
      </c>
      <c r="I371">
        <v>1.2</v>
      </c>
      <c r="V371">
        <v>2.9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61"/>
  <sheetViews>
    <sheetView workbookViewId="0"/>
  </sheetViews>
  <sheetFormatPr baseColWidth="10" defaultColWidth="8.83203125" defaultRowHeight="15" x14ac:dyDescent="0.2"/>
  <cols>
    <col min="1" max="1" width="18.5" customWidth="1"/>
    <col min="2" max="2" width="23.33203125" customWidth="1"/>
    <col min="3" max="3" width="18.1640625" customWidth="1"/>
    <col min="4" max="4" width="57.6640625" customWidth="1"/>
    <col min="5" max="5" width="8.6640625" customWidth="1"/>
  </cols>
  <sheetData>
    <row r="1" spans="1:14" x14ac:dyDescent="0.2">
      <c r="E1" t="s">
        <v>0</v>
      </c>
      <c r="G1" t="s">
        <v>1</v>
      </c>
      <c r="I1" t="s">
        <v>2</v>
      </c>
      <c r="K1" t="s">
        <v>3</v>
      </c>
      <c r="M1" t="s">
        <v>4</v>
      </c>
    </row>
    <row r="2" spans="1:14" x14ac:dyDescent="0.2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21</v>
      </c>
      <c r="H2" t="s">
        <v>22</v>
      </c>
      <c r="I2" t="s">
        <v>21</v>
      </c>
      <c r="J2" t="s">
        <v>22</v>
      </c>
      <c r="K2" t="s">
        <v>21</v>
      </c>
      <c r="L2" t="s">
        <v>22</v>
      </c>
      <c r="M2" t="s">
        <v>21</v>
      </c>
      <c r="N2" t="s">
        <v>22</v>
      </c>
    </row>
    <row r="3" spans="1:14" x14ac:dyDescent="0.2">
      <c r="A3" t="s">
        <v>23</v>
      </c>
      <c r="B3" t="s">
        <v>24</v>
      </c>
      <c r="C3" t="s">
        <v>37</v>
      </c>
      <c r="D3" t="s">
        <v>38</v>
      </c>
      <c r="M3">
        <f>SUM(E3,G3,I3,K3)</f>
        <v>0</v>
      </c>
      <c r="N3">
        <f>SUM(F3,H3,J3,L3)</f>
        <v>0</v>
      </c>
    </row>
    <row r="4" spans="1:14" x14ac:dyDescent="0.2">
      <c r="A4" t="s">
        <v>23</v>
      </c>
      <c r="B4" t="s">
        <v>24</v>
      </c>
      <c r="C4" t="s">
        <v>546</v>
      </c>
      <c r="D4" t="s">
        <v>547</v>
      </c>
    </row>
    <row r="5" spans="1:14" x14ac:dyDescent="0.2">
      <c r="A5" t="s">
        <v>23</v>
      </c>
      <c r="B5" t="s">
        <v>24</v>
      </c>
      <c r="C5" t="s">
        <v>25</v>
      </c>
      <c r="D5" t="s">
        <v>35</v>
      </c>
      <c r="F5">
        <v>21</v>
      </c>
      <c r="K5">
        <v>7</v>
      </c>
      <c r="L5">
        <v>12</v>
      </c>
      <c r="M5">
        <f t="shared" ref="M5:M46" si="0">SUM(E5,G5,I5,K5)</f>
        <v>7</v>
      </c>
      <c r="N5">
        <f t="shared" ref="N5:N46" si="1">SUM(F5,H5,J5,L5)</f>
        <v>33</v>
      </c>
    </row>
    <row r="6" spans="1:14" x14ac:dyDescent="0.2">
      <c r="A6" t="s">
        <v>23</v>
      </c>
      <c r="B6" t="s">
        <v>24</v>
      </c>
      <c r="C6" t="s">
        <v>33</v>
      </c>
      <c r="D6" t="s">
        <v>34</v>
      </c>
      <c r="F6">
        <v>10</v>
      </c>
      <c r="K6">
        <v>4</v>
      </c>
      <c r="L6">
        <v>6</v>
      </c>
      <c r="M6">
        <f t="shared" si="0"/>
        <v>4</v>
      </c>
      <c r="N6">
        <f t="shared" si="1"/>
        <v>16</v>
      </c>
    </row>
    <row r="7" spans="1:14" x14ac:dyDescent="0.2">
      <c r="A7" t="s">
        <v>23</v>
      </c>
      <c r="B7" t="s">
        <v>24</v>
      </c>
      <c r="C7" t="s">
        <v>31</v>
      </c>
      <c r="D7" t="s">
        <v>32</v>
      </c>
      <c r="M7">
        <f t="shared" si="0"/>
        <v>0</v>
      </c>
      <c r="N7">
        <f t="shared" si="1"/>
        <v>0</v>
      </c>
    </row>
    <row r="8" spans="1:14" x14ac:dyDescent="0.2">
      <c r="A8" t="s">
        <v>23</v>
      </c>
      <c r="B8" t="s">
        <v>24</v>
      </c>
      <c r="C8" t="s">
        <v>29</v>
      </c>
      <c r="D8" t="s">
        <v>30</v>
      </c>
      <c r="M8">
        <f t="shared" si="0"/>
        <v>0</v>
      </c>
      <c r="N8">
        <f t="shared" si="1"/>
        <v>0</v>
      </c>
    </row>
    <row r="9" spans="1:14" x14ac:dyDescent="0.2">
      <c r="A9" t="s">
        <v>23</v>
      </c>
      <c r="B9" t="s">
        <v>24</v>
      </c>
      <c r="C9" t="s">
        <v>25</v>
      </c>
      <c r="D9" t="s">
        <v>548</v>
      </c>
      <c r="M9">
        <f t="shared" si="0"/>
        <v>0</v>
      </c>
      <c r="N9">
        <f t="shared" si="1"/>
        <v>0</v>
      </c>
    </row>
    <row r="10" spans="1:14" x14ac:dyDescent="0.2">
      <c r="A10" t="s">
        <v>23</v>
      </c>
      <c r="B10" t="s">
        <v>24</v>
      </c>
      <c r="C10" t="s">
        <v>25</v>
      </c>
      <c r="D10" t="s">
        <v>549</v>
      </c>
      <c r="M10">
        <f t="shared" si="0"/>
        <v>0</v>
      </c>
      <c r="N10">
        <f t="shared" si="1"/>
        <v>0</v>
      </c>
    </row>
    <row r="11" spans="1:14" x14ac:dyDescent="0.2">
      <c r="A11" t="s">
        <v>23</v>
      </c>
      <c r="B11" t="s">
        <v>24</v>
      </c>
      <c r="C11" t="s">
        <v>25</v>
      </c>
      <c r="D11" t="s">
        <v>26</v>
      </c>
      <c r="F11">
        <v>25</v>
      </c>
      <c r="K11">
        <v>7</v>
      </c>
      <c r="L11">
        <v>30</v>
      </c>
      <c r="M11">
        <f t="shared" si="0"/>
        <v>7</v>
      </c>
      <c r="N11">
        <f t="shared" si="1"/>
        <v>55</v>
      </c>
    </row>
    <row r="12" spans="1:14" x14ac:dyDescent="0.2">
      <c r="A12" t="s">
        <v>23</v>
      </c>
      <c r="B12" t="s">
        <v>40</v>
      </c>
      <c r="C12" t="s">
        <v>41</v>
      </c>
      <c r="D12" t="s">
        <v>42</v>
      </c>
      <c r="M12">
        <f t="shared" si="0"/>
        <v>0</v>
      </c>
      <c r="N12">
        <f t="shared" si="1"/>
        <v>0</v>
      </c>
    </row>
    <row r="13" spans="1:14" x14ac:dyDescent="0.2">
      <c r="A13" t="s">
        <v>23</v>
      </c>
      <c r="B13" t="s">
        <v>43</v>
      </c>
      <c r="C13" t="s">
        <v>41</v>
      </c>
      <c r="D13" t="s">
        <v>46</v>
      </c>
      <c r="F13">
        <v>1</v>
      </c>
      <c r="M13">
        <f t="shared" si="0"/>
        <v>0</v>
      </c>
      <c r="N13">
        <f t="shared" si="1"/>
        <v>1</v>
      </c>
    </row>
    <row r="14" spans="1:14" x14ac:dyDescent="0.2">
      <c r="A14" t="s">
        <v>23</v>
      </c>
      <c r="B14" t="s">
        <v>43</v>
      </c>
      <c r="C14" t="s">
        <v>44</v>
      </c>
      <c r="D14" t="s">
        <v>45</v>
      </c>
      <c r="F14">
        <v>11</v>
      </c>
      <c r="K14">
        <v>3</v>
      </c>
      <c r="L14">
        <v>2</v>
      </c>
      <c r="M14">
        <f t="shared" si="0"/>
        <v>3</v>
      </c>
      <c r="N14">
        <f t="shared" si="1"/>
        <v>13</v>
      </c>
    </row>
    <row r="15" spans="1:14" x14ac:dyDescent="0.2">
      <c r="A15" t="s">
        <v>47</v>
      </c>
      <c r="B15" t="s">
        <v>48</v>
      </c>
      <c r="C15" t="s">
        <v>53</v>
      </c>
      <c r="D15" t="s">
        <v>54</v>
      </c>
      <c r="F15">
        <v>0.3</v>
      </c>
      <c r="J15">
        <v>1</v>
      </c>
      <c r="M15">
        <f t="shared" si="0"/>
        <v>0</v>
      </c>
      <c r="N15">
        <f t="shared" si="1"/>
        <v>1.3</v>
      </c>
    </row>
    <row r="16" spans="1:14" x14ac:dyDescent="0.2">
      <c r="A16" t="s">
        <v>47</v>
      </c>
      <c r="B16" t="s">
        <v>48</v>
      </c>
      <c r="C16" t="s">
        <v>51</v>
      </c>
      <c r="D16" t="s">
        <v>52</v>
      </c>
      <c r="M16">
        <f t="shared" si="0"/>
        <v>0</v>
      </c>
      <c r="N16">
        <f t="shared" si="1"/>
        <v>0</v>
      </c>
    </row>
    <row r="17" spans="1:14" x14ac:dyDescent="0.2">
      <c r="A17" t="s">
        <v>47</v>
      </c>
      <c r="B17" t="s">
        <v>48</v>
      </c>
      <c r="C17" t="s">
        <v>49</v>
      </c>
      <c r="D17" t="s">
        <v>50</v>
      </c>
      <c r="M17">
        <f t="shared" si="0"/>
        <v>0</v>
      </c>
      <c r="N17">
        <f t="shared" si="1"/>
        <v>0</v>
      </c>
    </row>
    <row r="18" spans="1:14" x14ac:dyDescent="0.2">
      <c r="A18" t="s">
        <v>47</v>
      </c>
      <c r="B18" t="s">
        <v>55</v>
      </c>
      <c r="C18" t="s">
        <v>58</v>
      </c>
      <c r="D18" t="s">
        <v>60</v>
      </c>
      <c r="F18">
        <v>20</v>
      </c>
      <c r="K18">
        <v>2</v>
      </c>
      <c r="L18">
        <v>2</v>
      </c>
      <c r="M18">
        <f t="shared" si="0"/>
        <v>2</v>
      </c>
      <c r="N18">
        <f t="shared" si="1"/>
        <v>22</v>
      </c>
    </row>
    <row r="19" spans="1:14" x14ac:dyDescent="0.2">
      <c r="A19" t="s">
        <v>47</v>
      </c>
      <c r="B19" t="s">
        <v>55</v>
      </c>
      <c r="C19" t="s">
        <v>58</v>
      </c>
      <c r="D19" t="s">
        <v>59</v>
      </c>
      <c r="F19">
        <v>19</v>
      </c>
      <c r="K19">
        <v>1</v>
      </c>
      <c r="L19">
        <v>3</v>
      </c>
      <c r="M19">
        <f t="shared" si="0"/>
        <v>1</v>
      </c>
      <c r="N19">
        <f t="shared" si="1"/>
        <v>22</v>
      </c>
    </row>
    <row r="20" spans="1:14" x14ac:dyDescent="0.2">
      <c r="A20" t="s">
        <v>47</v>
      </c>
      <c r="B20" t="s">
        <v>55</v>
      </c>
      <c r="C20" t="s">
        <v>56</v>
      </c>
      <c r="D20" t="s">
        <v>57</v>
      </c>
      <c r="F20">
        <v>5</v>
      </c>
      <c r="L20">
        <v>16</v>
      </c>
      <c r="M20">
        <f t="shared" si="0"/>
        <v>0</v>
      </c>
      <c r="N20">
        <f t="shared" si="1"/>
        <v>21</v>
      </c>
    </row>
    <row r="21" spans="1:14" x14ac:dyDescent="0.2">
      <c r="A21" t="s">
        <v>47</v>
      </c>
      <c r="B21" t="s">
        <v>61</v>
      </c>
      <c r="C21" t="s">
        <v>67</v>
      </c>
      <c r="D21" t="s">
        <v>69</v>
      </c>
      <c r="J21">
        <v>18</v>
      </c>
      <c r="M21">
        <f t="shared" si="0"/>
        <v>0</v>
      </c>
      <c r="N21">
        <f t="shared" si="1"/>
        <v>18</v>
      </c>
    </row>
    <row r="22" spans="1:14" x14ac:dyDescent="0.2">
      <c r="A22" t="s">
        <v>47</v>
      </c>
      <c r="B22" t="s">
        <v>61</v>
      </c>
      <c r="C22" t="s">
        <v>67</v>
      </c>
      <c r="D22" t="s">
        <v>68</v>
      </c>
      <c r="J22">
        <v>21</v>
      </c>
      <c r="M22">
        <f t="shared" si="0"/>
        <v>0</v>
      </c>
      <c r="N22">
        <f t="shared" si="1"/>
        <v>21</v>
      </c>
    </row>
    <row r="23" spans="1:14" x14ac:dyDescent="0.2">
      <c r="A23" t="s">
        <v>47</v>
      </c>
      <c r="B23" t="s">
        <v>61</v>
      </c>
      <c r="C23" t="s">
        <v>51</v>
      </c>
      <c r="D23" t="s">
        <v>66</v>
      </c>
      <c r="M23">
        <f t="shared" si="0"/>
        <v>0</v>
      </c>
      <c r="N23">
        <f t="shared" si="1"/>
        <v>0</v>
      </c>
    </row>
    <row r="24" spans="1:14" x14ac:dyDescent="0.2">
      <c r="A24" t="s">
        <v>47</v>
      </c>
      <c r="B24" t="s">
        <v>61</v>
      </c>
      <c r="C24" t="s">
        <v>51</v>
      </c>
      <c r="D24" t="s">
        <v>65</v>
      </c>
      <c r="F24">
        <v>0.7</v>
      </c>
      <c r="J24">
        <v>7</v>
      </c>
      <c r="K24">
        <v>1</v>
      </c>
      <c r="M24">
        <f t="shared" si="0"/>
        <v>1</v>
      </c>
      <c r="N24">
        <f t="shared" si="1"/>
        <v>7.7</v>
      </c>
    </row>
    <row r="25" spans="1:14" x14ac:dyDescent="0.2">
      <c r="A25" t="s">
        <v>47</v>
      </c>
      <c r="B25" t="s">
        <v>61</v>
      </c>
      <c r="C25" t="s">
        <v>51</v>
      </c>
      <c r="D25" t="s">
        <v>64</v>
      </c>
      <c r="F25">
        <v>0.4</v>
      </c>
      <c r="J25">
        <v>3</v>
      </c>
      <c r="K25">
        <v>1</v>
      </c>
      <c r="L25">
        <v>4</v>
      </c>
      <c r="M25">
        <f t="shared" si="0"/>
        <v>1</v>
      </c>
      <c r="N25">
        <f t="shared" si="1"/>
        <v>7.4</v>
      </c>
    </row>
    <row r="26" spans="1:14" x14ac:dyDescent="0.2">
      <c r="A26" t="s">
        <v>47</v>
      </c>
      <c r="B26" t="s">
        <v>61</v>
      </c>
      <c r="C26" t="s">
        <v>62</v>
      </c>
      <c r="D26" t="s">
        <v>63</v>
      </c>
      <c r="F26">
        <v>0.8</v>
      </c>
      <c r="J26">
        <v>17</v>
      </c>
      <c r="M26">
        <f t="shared" si="0"/>
        <v>0</v>
      </c>
      <c r="N26">
        <f t="shared" si="1"/>
        <v>17.8</v>
      </c>
    </row>
    <row r="27" spans="1:14" x14ac:dyDescent="0.2">
      <c r="A27" t="s">
        <v>47</v>
      </c>
      <c r="B27" t="s">
        <v>70</v>
      </c>
      <c r="C27" t="s">
        <v>92</v>
      </c>
      <c r="D27" t="s">
        <v>93</v>
      </c>
      <c r="F27">
        <v>0.4</v>
      </c>
      <c r="J27">
        <v>4</v>
      </c>
      <c r="M27">
        <f t="shared" si="0"/>
        <v>0</v>
      </c>
      <c r="N27">
        <f t="shared" si="1"/>
        <v>4.4000000000000004</v>
      </c>
    </row>
    <row r="28" spans="1:14" x14ac:dyDescent="0.2">
      <c r="A28" t="s">
        <v>47</v>
      </c>
      <c r="B28" t="s">
        <v>70</v>
      </c>
      <c r="C28" t="s">
        <v>72</v>
      </c>
      <c r="D28" t="s">
        <v>91</v>
      </c>
      <c r="F28">
        <v>0.6</v>
      </c>
      <c r="J28">
        <v>1</v>
      </c>
      <c r="M28">
        <f t="shared" si="0"/>
        <v>0</v>
      </c>
      <c r="N28">
        <f t="shared" si="1"/>
        <v>1.6</v>
      </c>
    </row>
    <row r="29" spans="1:14" x14ac:dyDescent="0.2">
      <c r="A29" t="s">
        <v>47</v>
      </c>
      <c r="B29" t="s">
        <v>70</v>
      </c>
      <c r="C29" t="s">
        <v>72</v>
      </c>
      <c r="D29" t="s">
        <v>90</v>
      </c>
      <c r="J29">
        <v>2.2000000000000002</v>
      </c>
      <c r="M29">
        <f t="shared" si="0"/>
        <v>0</v>
      </c>
      <c r="N29">
        <f t="shared" si="1"/>
        <v>2.2000000000000002</v>
      </c>
    </row>
    <row r="30" spans="1:14" x14ac:dyDescent="0.2">
      <c r="A30" t="s">
        <v>47</v>
      </c>
      <c r="B30" t="s">
        <v>70</v>
      </c>
      <c r="C30" t="s">
        <v>72</v>
      </c>
      <c r="D30" t="s">
        <v>89</v>
      </c>
      <c r="J30">
        <v>9.5</v>
      </c>
      <c r="M30">
        <f t="shared" si="0"/>
        <v>0</v>
      </c>
      <c r="N30">
        <f t="shared" si="1"/>
        <v>9.5</v>
      </c>
    </row>
    <row r="31" spans="1:14" x14ac:dyDescent="0.2">
      <c r="A31" t="s">
        <v>47</v>
      </c>
      <c r="B31" t="s">
        <v>70</v>
      </c>
      <c r="C31" t="s">
        <v>72</v>
      </c>
      <c r="D31" t="s">
        <v>88</v>
      </c>
      <c r="J31">
        <v>1</v>
      </c>
      <c r="M31">
        <f t="shared" si="0"/>
        <v>0</v>
      </c>
      <c r="N31">
        <f t="shared" si="1"/>
        <v>1</v>
      </c>
    </row>
    <row r="32" spans="1:14" x14ac:dyDescent="0.2">
      <c r="A32" t="s">
        <v>47</v>
      </c>
      <c r="B32" t="s">
        <v>70</v>
      </c>
      <c r="C32" t="s">
        <v>80</v>
      </c>
      <c r="D32" t="s">
        <v>87</v>
      </c>
      <c r="F32">
        <v>1</v>
      </c>
      <c r="J32">
        <v>2</v>
      </c>
      <c r="M32">
        <f t="shared" si="0"/>
        <v>0</v>
      </c>
      <c r="N32">
        <f t="shared" si="1"/>
        <v>3</v>
      </c>
    </row>
    <row r="33" spans="1:14" x14ac:dyDescent="0.2">
      <c r="A33" t="s">
        <v>47</v>
      </c>
      <c r="B33" t="s">
        <v>70</v>
      </c>
      <c r="C33" t="s">
        <v>72</v>
      </c>
      <c r="D33" t="s">
        <v>86</v>
      </c>
      <c r="F33">
        <v>0.8</v>
      </c>
      <c r="M33">
        <f t="shared" si="0"/>
        <v>0</v>
      </c>
      <c r="N33">
        <f t="shared" si="1"/>
        <v>0.8</v>
      </c>
    </row>
    <row r="34" spans="1:14" x14ac:dyDescent="0.2">
      <c r="A34" t="s">
        <v>47</v>
      </c>
      <c r="B34" t="s">
        <v>70</v>
      </c>
      <c r="C34" t="s">
        <v>72</v>
      </c>
      <c r="D34" t="s">
        <v>85</v>
      </c>
      <c r="M34">
        <f t="shared" si="0"/>
        <v>0</v>
      </c>
      <c r="N34">
        <f t="shared" si="1"/>
        <v>0</v>
      </c>
    </row>
    <row r="35" spans="1:14" x14ac:dyDescent="0.2">
      <c r="A35" t="s">
        <v>47</v>
      </c>
      <c r="B35" t="s">
        <v>70</v>
      </c>
      <c r="C35" t="s">
        <v>72</v>
      </c>
      <c r="D35" t="s">
        <v>84</v>
      </c>
      <c r="F35">
        <v>0.9</v>
      </c>
      <c r="M35">
        <f t="shared" si="0"/>
        <v>0</v>
      </c>
      <c r="N35">
        <f t="shared" si="1"/>
        <v>0.9</v>
      </c>
    </row>
    <row r="36" spans="1:14" x14ac:dyDescent="0.2">
      <c r="A36" t="s">
        <v>47</v>
      </c>
      <c r="B36" t="s">
        <v>70</v>
      </c>
      <c r="C36" t="s">
        <v>82</v>
      </c>
      <c r="D36" t="s">
        <v>83</v>
      </c>
      <c r="F36">
        <v>0.3</v>
      </c>
      <c r="J36">
        <v>1</v>
      </c>
      <c r="M36">
        <f t="shared" si="0"/>
        <v>0</v>
      </c>
      <c r="N36">
        <f t="shared" si="1"/>
        <v>1.3</v>
      </c>
    </row>
    <row r="37" spans="1:14" x14ac:dyDescent="0.2">
      <c r="A37" t="s">
        <v>47</v>
      </c>
      <c r="B37" t="s">
        <v>70</v>
      </c>
      <c r="C37" t="s">
        <v>80</v>
      </c>
      <c r="D37" t="s">
        <v>81</v>
      </c>
      <c r="F37">
        <v>1</v>
      </c>
      <c r="M37">
        <f t="shared" si="0"/>
        <v>0</v>
      </c>
      <c r="N37">
        <f t="shared" si="1"/>
        <v>1</v>
      </c>
    </row>
    <row r="38" spans="1:14" x14ac:dyDescent="0.2">
      <c r="A38" t="s">
        <v>47</v>
      </c>
      <c r="B38" t="s">
        <v>70</v>
      </c>
      <c r="C38" t="s">
        <v>72</v>
      </c>
      <c r="D38" t="s">
        <v>79</v>
      </c>
      <c r="F38">
        <v>0.8</v>
      </c>
      <c r="J38">
        <v>2</v>
      </c>
      <c r="M38">
        <f t="shared" si="0"/>
        <v>0</v>
      </c>
      <c r="N38">
        <f t="shared" si="1"/>
        <v>2.8</v>
      </c>
    </row>
    <row r="39" spans="1:14" x14ac:dyDescent="0.2">
      <c r="A39" t="s">
        <v>47</v>
      </c>
      <c r="B39" t="s">
        <v>70</v>
      </c>
      <c r="C39" t="s">
        <v>72</v>
      </c>
      <c r="D39" t="s">
        <v>78</v>
      </c>
      <c r="M39">
        <f t="shared" si="0"/>
        <v>0</v>
      </c>
      <c r="N39">
        <f t="shared" si="1"/>
        <v>0</v>
      </c>
    </row>
    <row r="40" spans="1:14" x14ac:dyDescent="0.2">
      <c r="A40" t="s">
        <v>47</v>
      </c>
      <c r="B40" t="s">
        <v>70</v>
      </c>
      <c r="C40" t="s">
        <v>72</v>
      </c>
      <c r="D40" t="s">
        <v>77</v>
      </c>
      <c r="M40">
        <f t="shared" si="0"/>
        <v>0</v>
      </c>
      <c r="N40">
        <f t="shared" si="1"/>
        <v>0</v>
      </c>
    </row>
    <row r="41" spans="1:14" x14ac:dyDescent="0.2">
      <c r="A41" t="s">
        <v>47</v>
      </c>
      <c r="B41" t="s">
        <v>70</v>
      </c>
      <c r="C41" t="s">
        <v>72</v>
      </c>
      <c r="D41" t="s">
        <v>76</v>
      </c>
      <c r="J41">
        <v>1.2</v>
      </c>
      <c r="M41">
        <f t="shared" si="0"/>
        <v>0</v>
      </c>
      <c r="N41">
        <f t="shared" si="1"/>
        <v>1.2</v>
      </c>
    </row>
    <row r="42" spans="1:14" x14ac:dyDescent="0.2">
      <c r="A42" t="s">
        <v>47</v>
      </c>
      <c r="B42" t="s">
        <v>70</v>
      </c>
      <c r="C42" t="s">
        <v>72</v>
      </c>
      <c r="D42" t="s">
        <v>75</v>
      </c>
      <c r="J42">
        <v>8.9</v>
      </c>
      <c r="M42">
        <f t="shared" si="0"/>
        <v>0</v>
      </c>
      <c r="N42">
        <f t="shared" si="1"/>
        <v>8.9</v>
      </c>
    </row>
    <row r="43" spans="1:14" x14ac:dyDescent="0.2">
      <c r="A43" t="s">
        <v>47</v>
      </c>
      <c r="B43" t="s">
        <v>70</v>
      </c>
      <c r="C43" t="s">
        <v>72</v>
      </c>
      <c r="D43" t="s">
        <v>74</v>
      </c>
      <c r="J43">
        <v>3</v>
      </c>
      <c r="M43">
        <f t="shared" si="0"/>
        <v>0</v>
      </c>
      <c r="N43">
        <f t="shared" si="1"/>
        <v>3</v>
      </c>
    </row>
    <row r="44" spans="1:14" x14ac:dyDescent="0.2">
      <c r="A44" t="s">
        <v>47</v>
      </c>
      <c r="B44" t="s">
        <v>70</v>
      </c>
      <c r="C44" t="s">
        <v>72</v>
      </c>
      <c r="D44" t="s">
        <v>73</v>
      </c>
      <c r="F44">
        <v>0.9</v>
      </c>
      <c r="M44">
        <f t="shared" si="0"/>
        <v>0</v>
      </c>
      <c r="N44">
        <f t="shared" si="1"/>
        <v>0.9</v>
      </c>
    </row>
    <row r="45" spans="1:14" x14ac:dyDescent="0.2">
      <c r="A45" t="s">
        <v>47</v>
      </c>
      <c r="B45" t="s">
        <v>70</v>
      </c>
      <c r="C45" t="s">
        <v>53</v>
      </c>
      <c r="D45" t="s">
        <v>71</v>
      </c>
      <c r="F45">
        <v>1</v>
      </c>
      <c r="J45">
        <v>8</v>
      </c>
      <c r="M45">
        <f t="shared" si="0"/>
        <v>0</v>
      </c>
      <c r="N45">
        <f t="shared" si="1"/>
        <v>9</v>
      </c>
    </row>
    <row r="46" spans="1:14" x14ac:dyDescent="0.2">
      <c r="A46" t="s">
        <v>94</v>
      </c>
      <c r="B46" t="s">
        <v>95</v>
      </c>
      <c r="C46" t="s">
        <v>112</v>
      </c>
      <c r="D46" t="s">
        <v>113</v>
      </c>
      <c r="L46">
        <v>1.6</v>
      </c>
      <c r="M46">
        <f t="shared" si="0"/>
        <v>0</v>
      </c>
      <c r="N46">
        <f t="shared" si="1"/>
        <v>1.6</v>
      </c>
    </row>
    <row r="47" spans="1:14" x14ac:dyDescent="0.2">
      <c r="A47" t="s">
        <v>94</v>
      </c>
      <c r="B47" t="s">
        <v>95</v>
      </c>
      <c r="C47" t="s">
        <v>107</v>
      </c>
      <c r="D47" t="s">
        <v>111</v>
      </c>
      <c r="K47">
        <v>7</v>
      </c>
      <c r="L47">
        <v>1.5</v>
      </c>
    </row>
    <row r="48" spans="1:14" x14ac:dyDescent="0.2">
      <c r="A48" t="s">
        <v>94</v>
      </c>
      <c r="B48" t="s">
        <v>95</v>
      </c>
      <c r="C48" t="s">
        <v>109</v>
      </c>
      <c r="D48" t="s">
        <v>110</v>
      </c>
      <c r="M48">
        <f>SUM(E48,G48,I48,K48)</f>
        <v>0</v>
      </c>
      <c r="N48">
        <f>SUM(F48,H48,J48,L48)</f>
        <v>0</v>
      </c>
    </row>
    <row r="49" spans="1:14" x14ac:dyDescent="0.2">
      <c r="A49" t="s">
        <v>94</v>
      </c>
      <c r="B49" t="s">
        <v>95</v>
      </c>
      <c r="C49" t="s">
        <v>107</v>
      </c>
      <c r="D49" t="s">
        <v>108</v>
      </c>
    </row>
    <row r="50" spans="1:14" x14ac:dyDescent="0.2">
      <c r="A50" t="s">
        <v>94</v>
      </c>
      <c r="B50" t="s">
        <v>95</v>
      </c>
      <c r="C50" t="s">
        <v>102</v>
      </c>
      <c r="D50" t="s">
        <v>106</v>
      </c>
      <c r="K50">
        <v>4</v>
      </c>
      <c r="L50">
        <v>0.1</v>
      </c>
    </row>
    <row r="51" spans="1:14" x14ac:dyDescent="0.2">
      <c r="A51" t="s">
        <v>94</v>
      </c>
      <c r="B51" t="s">
        <v>95</v>
      </c>
      <c r="C51" t="s">
        <v>102</v>
      </c>
      <c r="D51" t="s">
        <v>550</v>
      </c>
      <c r="K51">
        <v>2</v>
      </c>
      <c r="L51">
        <v>0.9</v>
      </c>
    </row>
    <row r="52" spans="1:14" x14ac:dyDescent="0.2">
      <c r="A52" t="s">
        <v>94</v>
      </c>
      <c r="B52" t="s">
        <v>95</v>
      </c>
      <c r="C52" t="s">
        <v>104</v>
      </c>
      <c r="D52" t="s">
        <v>105</v>
      </c>
      <c r="M52">
        <f t="shared" ref="M52:M98" si="2">SUM(E52,G52,I52,K52)</f>
        <v>0</v>
      </c>
      <c r="N52">
        <f t="shared" ref="N52:N98" si="3">SUM(F52,H52,J52,L52)</f>
        <v>0</v>
      </c>
    </row>
    <row r="53" spans="1:14" x14ac:dyDescent="0.2">
      <c r="A53" t="s">
        <v>94</v>
      </c>
      <c r="B53" t="s">
        <v>95</v>
      </c>
      <c r="C53" t="s">
        <v>100</v>
      </c>
      <c r="D53" t="s">
        <v>101</v>
      </c>
      <c r="M53">
        <f t="shared" si="2"/>
        <v>0</v>
      </c>
      <c r="N53">
        <f t="shared" si="3"/>
        <v>0</v>
      </c>
    </row>
    <row r="54" spans="1:14" x14ac:dyDescent="0.2">
      <c r="A54" t="s">
        <v>94</v>
      </c>
      <c r="B54" t="s">
        <v>95</v>
      </c>
      <c r="C54" t="s">
        <v>98</v>
      </c>
      <c r="D54" t="s">
        <v>99</v>
      </c>
      <c r="K54">
        <v>5</v>
      </c>
      <c r="L54">
        <v>0.8</v>
      </c>
      <c r="M54">
        <f t="shared" si="2"/>
        <v>5</v>
      </c>
      <c r="N54">
        <f t="shared" si="3"/>
        <v>0.8</v>
      </c>
    </row>
    <row r="55" spans="1:14" x14ac:dyDescent="0.2">
      <c r="A55" t="s">
        <v>94</v>
      </c>
      <c r="B55" t="s">
        <v>95</v>
      </c>
      <c r="C55" t="s">
        <v>96</v>
      </c>
      <c r="D55" t="s">
        <v>97</v>
      </c>
      <c r="M55">
        <f t="shared" si="2"/>
        <v>0</v>
      </c>
      <c r="N55">
        <f t="shared" si="3"/>
        <v>0</v>
      </c>
    </row>
    <row r="56" spans="1:14" x14ac:dyDescent="0.2">
      <c r="A56" t="s">
        <v>94</v>
      </c>
      <c r="B56" t="s">
        <v>40</v>
      </c>
      <c r="C56" t="s">
        <v>114</v>
      </c>
      <c r="D56" t="s">
        <v>115</v>
      </c>
      <c r="M56">
        <f t="shared" si="2"/>
        <v>0</v>
      </c>
      <c r="N56">
        <f t="shared" si="3"/>
        <v>0</v>
      </c>
    </row>
    <row r="57" spans="1:14" x14ac:dyDescent="0.2">
      <c r="A57" t="s">
        <v>94</v>
      </c>
      <c r="B57" t="s">
        <v>116</v>
      </c>
      <c r="C57" t="s">
        <v>109</v>
      </c>
      <c r="D57" t="s">
        <v>117</v>
      </c>
      <c r="K57">
        <v>5</v>
      </c>
      <c r="L57">
        <v>0.9</v>
      </c>
      <c r="M57">
        <f t="shared" si="2"/>
        <v>5</v>
      </c>
      <c r="N57">
        <f t="shared" si="3"/>
        <v>0.9</v>
      </c>
    </row>
    <row r="58" spans="1:14" x14ac:dyDescent="0.2">
      <c r="A58" t="s">
        <v>94</v>
      </c>
      <c r="B58" t="s">
        <v>118</v>
      </c>
      <c r="C58" t="s">
        <v>119</v>
      </c>
      <c r="D58" t="s">
        <v>120</v>
      </c>
      <c r="M58">
        <f t="shared" si="2"/>
        <v>0</v>
      </c>
      <c r="N58">
        <f t="shared" si="3"/>
        <v>0</v>
      </c>
    </row>
    <row r="59" spans="1:14" x14ac:dyDescent="0.2">
      <c r="A59" t="s">
        <v>121</v>
      </c>
      <c r="B59" t="s">
        <v>122</v>
      </c>
      <c r="C59" t="s">
        <v>135</v>
      </c>
      <c r="D59" t="s">
        <v>136</v>
      </c>
      <c r="M59">
        <f t="shared" si="2"/>
        <v>0</v>
      </c>
      <c r="N59">
        <f t="shared" si="3"/>
        <v>0</v>
      </c>
    </row>
    <row r="60" spans="1:14" x14ac:dyDescent="0.2">
      <c r="A60" t="s">
        <v>121</v>
      </c>
      <c r="B60" t="s">
        <v>122</v>
      </c>
      <c r="C60" t="s">
        <v>133</v>
      </c>
      <c r="D60" t="s">
        <v>134</v>
      </c>
      <c r="M60">
        <f t="shared" si="2"/>
        <v>0</v>
      </c>
      <c r="N60">
        <f t="shared" si="3"/>
        <v>0</v>
      </c>
    </row>
    <row r="61" spans="1:14" x14ac:dyDescent="0.2">
      <c r="A61" t="s">
        <v>121</v>
      </c>
      <c r="B61" t="s">
        <v>122</v>
      </c>
      <c r="C61" t="s">
        <v>131</v>
      </c>
      <c r="D61" t="s">
        <v>132</v>
      </c>
      <c r="J61">
        <v>1</v>
      </c>
      <c r="K61">
        <v>1</v>
      </c>
      <c r="L61">
        <v>16</v>
      </c>
      <c r="M61">
        <f t="shared" si="2"/>
        <v>1</v>
      </c>
      <c r="N61">
        <f t="shared" si="3"/>
        <v>17</v>
      </c>
    </row>
    <row r="62" spans="1:14" x14ac:dyDescent="0.2">
      <c r="A62" t="s">
        <v>121</v>
      </c>
      <c r="B62" t="s">
        <v>122</v>
      </c>
      <c r="C62" t="s">
        <v>129</v>
      </c>
      <c r="D62" t="s">
        <v>130</v>
      </c>
      <c r="J62">
        <v>4</v>
      </c>
      <c r="L62">
        <v>36</v>
      </c>
      <c r="M62">
        <f t="shared" si="2"/>
        <v>0</v>
      </c>
      <c r="N62">
        <f t="shared" si="3"/>
        <v>40</v>
      </c>
    </row>
    <row r="63" spans="1:14" x14ac:dyDescent="0.2">
      <c r="A63" t="s">
        <v>121</v>
      </c>
      <c r="B63" t="s">
        <v>122</v>
      </c>
      <c r="C63" t="s">
        <v>127</v>
      </c>
      <c r="D63" t="s">
        <v>128</v>
      </c>
      <c r="J63">
        <v>1</v>
      </c>
      <c r="K63">
        <v>2</v>
      </c>
      <c r="L63">
        <v>30</v>
      </c>
      <c r="M63">
        <f t="shared" si="2"/>
        <v>2</v>
      </c>
      <c r="N63">
        <f t="shared" si="3"/>
        <v>31</v>
      </c>
    </row>
    <row r="64" spans="1:14" x14ac:dyDescent="0.2">
      <c r="A64" t="s">
        <v>121</v>
      </c>
      <c r="B64" t="s">
        <v>122</v>
      </c>
      <c r="C64" t="s">
        <v>551</v>
      </c>
      <c r="D64" t="s">
        <v>128</v>
      </c>
      <c r="M64">
        <f t="shared" si="2"/>
        <v>0</v>
      </c>
      <c r="N64">
        <f t="shared" si="3"/>
        <v>0</v>
      </c>
    </row>
    <row r="65" spans="1:14" x14ac:dyDescent="0.2">
      <c r="A65" t="s">
        <v>121</v>
      </c>
      <c r="B65" t="s">
        <v>122</v>
      </c>
      <c r="C65" t="s">
        <v>125</v>
      </c>
      <c r="D65" t="s">
        <v>126</v>
      </c>
      <c r="J65">
        <v>12</v>
      </c>
      <c r="L65">
        <v>65</v>
      </c>
      <c r="M65">
        <f t="shared" si="2"/>
        <v>0</v>
      </c>
      <c r="N65">
        <f t="shared" si="3"/>
        <v>77</v>
      </c>
    </row>
    <row r="66" spans="1:14" x14ac:dyDescent="0.2">
      <c r="A66" t="s">
        <v>121</v>
      </c>
      <c r="B66" t="s">
        <v>122</v>
      </c>
      <c r="C66" t="s">
        <v>123</v>
      </c>
      <c r="D66" t="s">
        <v>124</v>
      </c>
      <c r="J66">
        <v>1</v>
      </c>
      <c r="M66">
        <f t="shared" si="2"/>
        <v>0</v>
      </c>
      <c r="N66">
        <f t="shared" si="3"/>
        <v>1</v>
      </c>
    </row>
    <row r="67" spans="1:14" x14ac:dyDescent="0.2">
      <c r="A67" t="s">
        <v>121</v>
      </c>
      <c r="B67" t="s">
        <v>137</v>
      </c>
      <c r="C67" t="s">
        <v>140</v>
      </c>
      <c r="D67" t="s">
        <v>141</v>
      </c>
      <c r="J67">
        <v>3</v>
      </c>
      <c r="M67">
        <f t="shared" si="2"/>
        <v>0</v>
      </c>
      <c r="N67">
        <f t="shared" si="3"/>
        <v>3</v>
      </c>
    </row>
    <row r="68" spans="1:14" x14ac:dyDescent="0.2">
      <c r="A68" t="s">
        <v>121</v>
      </c>
      <c r="B68" t="s">
        <v>137</v>
      </c>
      <c r="C68" t="s">
        <v>138</v>
      </c>
      <c r="D68" t="s">
        <v>139</v>
      </c>
      <c r="J68">
        <v>4</v>
      </c>
      <c r="M68">
        <f t="shared" si="2"/>
        <v>0</v>
      </c>
      <c r="N68">
        <f t="shared" si="3"/>
        <v>4</v>
      </c>
    </row>
    <row r="69" spans="1:14" x14ac:dyDescent="0.2">
      <c r="A69" t="s">
        <v>142</v>
      </c>
      <c r="B69" t="s">
        <v>143</v>
      </c>
      <c r="C69" t="s">
        <v>144</v>
      </c>
      <c r="D69" t="s">
        <v>146</v>
      </c>
      <c r="M69">
        <f t="shared" si="2"/>
        <v>0</v>
      </c>
      <c r="N69">
        <f t="shared" si="3"/>
        <v>0</v>
      </c>
    </row>
    <row r="70" spans="1:14" x14ac:dyDescent="0.2">
      <c r="A70" t="s">
        <v>142</v>
      </c>
      <c r="B70" t="s">
        <v>143</v>
      </c>
      <c r="C70" t="s">
        <v>144</v>
      </c>
      <c r="D70" t="s">
        <v>145</v>
      </c>
      <c r="I70">
        <v>3</v>
      </c>
      <c r="J70">
        <v>8</v>
      </c>
      <c r="M70">
        <f t="shared" si="2"/>
        <v>3</v>
      </c>
      <c r="N70">
        <f t="shared" si="3"/>
        <v>8</v>
      </c>
    </row>
    <row r="71" spans="1:14" x14ac:dyDescent="0.2">
      <c r="A71" t="s">
        <v>142</v>
      </c>
      <c r="B71" t="s">
        <v>147</v>
      </c>
      <c r="C71" t="s">
        <v>150</v>
      </c>
      <c r="D71" t="s">
        <v>152</v>
      </c>
      <c r="J71">
        <v>20</v>
      </c>
      <c r="M71">
        <f t="shared" si="2"/>
        <v>0</v>
      </c>
      <c r="N71">
        <f t="shared" si="3"/>
        <v>20</v>
      </c>
    </row>
    <row r="72" spans="1:14" x14ac:dyDescent="0.2">
      <c r="A72" t="s">
        <v>142</v>
      </c>
      <c r="B72" t="s">
        <v>147</v>
      </c>
      <c r="C72" t="s">
        <v>150</v>
      </c>
      <c r="D72" t="s">
        <v>151</v>
      </c>
      <c r="J72">
        <v>5</v>
      </c>
      <c r="M72">
        <f t="shared" si="2"/>
        <v>0</v>
      </c>
      <c r="N72">
        <f t="shared" si="3"/>
        <v>5</v>
      </c>
    </row>
    <row r="73" spans="1:14" x14ac:dyDescent="0.2">
      <c r="A73" t="s">
        <v>142</v>
      </c>
      <c r="B73" t="s">
        <v>147</v>
      </c>
      <c r="C73" t="s">
        <v>148</v>
      </c>
      <c r="D73" t="s">
        <v>149</v>
      </c>
      <c r="J73">
        <v>10</v>
      </c>
      <c r="M73">
        <f t="shared" si="2"/>
        <v>0</v>
      </c>
      <c r="N73">
        <f t="shared" si="3"/>
        <v>10</v>
      </c>
    </row>
    <row r="74" spans="1:14" x14ac:dyDescent="0.2">
      <c r="A74" t="s">
        <v>142</v>
      </c>
      <c r="B74" t="s">
        <v>153</v>
      </c>
      <c r="C74" t="s">
        <v>154</v>
      </c>
      <c r="D74" t="s">
        <v>155</v>
      </c>
      <c r="F74">
        <v>50</v>
      </c>
      <c r="J74">
        <v>450</v>
      </c>
      <c r="M74">
        <f t="shared" si="2"/>
        <v>0</v>
      </c>
      <c r="N74">
        <f t="shared" si="3"/>
        <v>500</v>
      </c>
    </row>
    <row r="75" spans="1:14" x14ac:dyDescent="0.2">
      <c r="A75" t="s">
        <v>142</v>
      </c>
      <c r="B75" t="s">
        <v>156</v>
      </c>
      <c r="C75" t="s">
        <v>161</v>
      </c>
      <c r="D75" t="s">
        <v>173</v>
      </c>
      <c r="E75">
        <v>0.2</v>
      </c>
      <c r="M75">
        <f t="shared" si="2"/>
        <v>0.2</v>
      </c>
      <c r="N75">
        <f t="shared" si="3"/>
        <v>0</v>
      </c>
    </row>
    <row r="76" spans="1:14" x14ac:dyDescent="0.2">
      <c r="A76" t="s">
        <v>142</v>
      </c>
      <c r="B76" t="s">
        <v>156</v>
      </c>
      <c r="C76" t="s">
        <v>168</v>
      </c>
      <c r="D76" t="s">
        <v>172</v>
      </c>
      <c r="E76">
        <v>0.2</v>
      </c>
      <c r="M76">
        <f t="shared" si="2"/>
        <v>0.2</v>
      </c>
      <c r="N76">
        <f t="shared" si="3"/>
        <v>0</v>
      </c>
    </row>
    <row r="77" spans="1:14" x14ac:dyDescent="0.2">
      <c r="A77" t="s">
        <v>142</v>
      </c>
      <c r="B77" t="s">
        <v>156</v>
      </c>
      <c r="C77" t="s">
        <v>170</v>
      </c>
      <c r="D77" t="s">
        <v>171</v>
      </c>
      <c r="E77">
        <v>4</v>
      </c>
      <c r="M77">
        <f t="shared" si="2"/>
        <v>4</v>
      </c>
      <c r="N77">
        <f t="shared" si="3"/>
        <v>0</v>
      </c>
    </row>
    <row r="78" spans="1:14" x14ac:dyDescent="0.2">
      <c r="A78" t="s">
        <v>142</v>
      </c>
      <c r="B78" t="s">
        <v>156</v>
      </c>
      <c r="C78" t="s">
        <v>168</v>
      </c>
      <c r="D78" t="s">
        <v>169</v>
      </c>
      <c r="E78">
        <v>0.2</v>
      </c>
      <c r="M78">
        <f t="shared" si="2"/>
        <v>0.2</v>
      </c>
      <c r="N78">
        <f t="shared" si="3"/>
        <v>0</v>
      </c>
    </row>
    <row r="79" spans="1:14" x14ac:dyDescent="0.2">
      <c r="A79" t="s">
        <v>142</v>
      </c>
      <c r="B79" t="s">
        <v>156</v>
      </c>
      <c r="C79" t="s">
        <v>157</v>
      </c>
      <c r="D79" t="s">
        <v>167</v>
      </c>
      <c r="E79">
        <v>0.2</v>
      </c>
      <c r="I79">
        <v>0.4</v>
      </c>
      <c r="M79">
        <f t="shared" si="2"/>
        <v>0.60000000000000009</v>
      </c>
      <c r="N79">
        <f t="shared" si="3"/>
        <v>0</v>
      </c>
    </row>
    <row r="80" spans="1:14" x14ac:dyDescent="0.2">
      <c r="A80" t="s">
        <v>142</v>
      </c>
      <c r="B80" t="s">
        <v>156</v>
      </c>
      <c r="C80" t="s">
        <v>157</v>
      </c>
      <c r="D80" t="s">
        <v>166</v>
      </c>
      <c r="M80">
        <f t="shared" si="2"/>
        <v>0</v>
      </c>
      <c r="N80">
        <f t="shared" si="3"/>
        <v>0</v>
      </c>
    </row>
    <row r="81" spans="1:14" x14ac:dyDescent="0.2">
      <c r="A81" t="s">
        <v>142</v>
      </c>
      <c r="B81" t="s">
        <v>156</v>
      </c>
      <c r="C81" t="s">
        <v>157</v>
      </c>
      <c r="D81" t="s">
        <v>165</v>
      </c>
      <c r="E81">
        <v>0.2</v>
      </c>
      <c r="I81">
        <v>2.5</v>
      </c>
      <c r="M81">
        <f t="shared" si="2"/>
        <v>2.7</v>
      </c>
      <c r="N81">
        <f t="shared" si="3"/>
        <v>0</v>
      </c>
    </row>
    <row r="82" spans="1:14" x14ac:dyDescent="0.2">
      <c r="A82" t="s">
        <v>142</v>
      </c>
      <c r="B82" t="s">
        <v>156</v>
      </c>
      <c r="C82" t="s">
        <v>157</v>
      </c>
      <c r="D82" t="s">
        <v>164</v>
      </c>
      <c r="E82">
        <v>0.2</v>
      </c>
      <c r="M82">
        <f t="shared" si="2"/>
        <v>0.2</v>
      </c>
      <c r="N82">
        <f t="shared" si="3"/>
        <v>0</v>
      </c>
    </row>
    <row r="83" spans="1:14" x14ac:dyDescent="0.2">
      <c r="A83" t="s">
        <v>142</v>
      </c>
      <c r="B83" t="s">
        <v>156</v>
      </c>
      <c r="C83" t="s">
        <v>157</v>
      </c>
      <c r="D83" t="s">
        <v>163</v>
      </c>
      <c r="E83">
        <v>0.2</v>
      </c>
      <c r="I83">
        <v>3.5</v>
      </c>
      <c r="M83">
        <f t="shared" si="2"/>
        <v>3.7</v>
      </c>
      <c r="N83">
        <f t="shared" si="3"/>
        <v>0</v>
      </c>
    </row>
    <row r="84" spans="1:14" x14ac:dyDescent="0.2">
      <c r="A84" t="s">
        <v>142</v>
      </c>
      <c r="B84" t="s">
        <v>156</v>
      </c>
      <c r="C84" t="s">
        <v>161</v>
      </c>
      <c r="D84" t="s">
        <v>162</v>
      </c>
      <c r="E84">
        <v>0.2</v>
      </c>
      <c r="I84">
        <v>2</v>
      </c>
      <c r="M84">
        <f t="shared" si="2"/>
        <v>2.2000000000000002</v>
      </c>
      <c r="N84">
        <f t="shared" si="3"/>
        <v>0</v>
      </c>
    </row>
    <row r="85" spans="1:14" x14ac:dyDescent="0.2">
      <c r="A85" t="s">
        <v>142</v>
      </c>
      <c r="B85" t="s">
        <v>156</v>
      </c>
      <c r="C85" t="s">
        <v>159</v>
      </c>
      <c r="D85" t="s">
        <v>160</v>
      </c>
      <c r="I85">
        <v>0.3</v>
      </c>
      <c r="M85">
        <f t="shared" si="2"/>
        <v>0.3</v>
      </c>
      <c r="N85">
        <f t="shared" si="3"/>
        <v>0</v>
      </c>
    </row>
    <row r="86" spans="1:14" x14ac:dyDescent="0.2">
      <c r="A86" t="s">
        <v>142</v>
      </c>
      <c r="B86" t="s">
        <v>156</v>
      </c>
      <c r="C86" t="s">
        <v>157</v>
      </c>
      <c r="D86" t="s">
        <v>158</v>
      </c>
      <c r="I86">
        <v>1</v>
      </c>
      <c r="M86">
        <f t="shared" si="2"/>
        <v>1</v>
      </c>
      <c r="N86">
        <f t="shared" si="3"/>
        <v>0</v>
      </c>
    </row>
    <row r="87" spans="1:14" x14ac:dyDescent="0.2">
      <c r="A87" t="s">
        <v>142</v>
      </c>
      <c r="B87" t="s">
        <v>156</v>
      </c>
      <c r="C87" t="s">
        <v>159</v>
      </c>
      <c r="D87" t="s">
        <v>552</v>
      </c>
      <c r="M87">
        <f t="shared" si="2"/>
        <v>0</v>
      </c>
      <c r="N87">
        <f t="shared" si="3"/>
        <v>0</v>
      </c>
    </row>
    <row r="88" spans="1:14" x14ac:dyDescent="0.2">
      <c r="A88" t="s">
        <v>174</v>
      </c>
      <c r="B88" t="s">
        <v>175</v>
      </c>
      <c r="C88" t="s">
        <v>56</v>
      </c>
      <c r="D88" t="s">
        <v>176</v>
      </c>
      <c r="F88">
        <v>11</v>
      </c>
      <c r="L88">
        <v>6</v>
      </c>
      <c r="M88">
        <f t="shared" si="2"/>
        <v>0</v>
      </c>
      <c r="N88">
        <f t="shared" si="3"/>
        <v>17</v>
      </c>
    </row>
    <row r="89" spans="1:14" x14ac:dyDescent="0.2">
      <c r="A89" t="s">
        <v>174</v>
      </c>
      <c r="B89" t="s">
        <v>177</v>
      </c>
      <c r="C89" t="s">
        <v>178</v>
      </c>
      <c r="D89" t="s">
        <v>179</v>
      </c>
      <c r="F89">
        <v>21</v>
      </c>
      <c r="K89">
        <v>2</v>
      </c>
      <c r="L89">
        <v>22</v>
      </c>
      <c r="M89">
        <f t="shared" si="2"/>
        <v>2</v>
      </c>
      <c r="N89">
        <f t="shared" si="3"/>
        <v>43</v>
      </c>
    </row>
    <row r="90" spans="1:14" x14ac:dyDescent="0.2">
      <c r="A90" t="s">
        <v>180</v>
      </c>
      <c r="B90" t="s">
        <v>181</v>
      </c>
      <c r="C90" t="s">
        <v>182</v>
      </c>
      <c r="D90" t="s">
        <v>186</v>
      </c>
      <c r="F90">
        <v>6</v>
      </c>
      <c r="J90">
        <v>77</v>
      </c>
      <c r="M90">
        <f t="shared" si="2"/>
        <v>0</v>
      </c>
      <c r="N90">
        <f t="shared" si="3"/>
        <v>83</v>
      </c>
    </row>
    <row r="91" spans="1:14" x14ac:dyDescent="0.2">
      <c r="A91" t="s">
        <v>180</v>
      </c>
      <c r="B91" t="s">
        <v>181</v>
      </c>
      <c r="C91" t="s">
        <v>184</v>
      </c>
      <c r="D91" t="s">
        <v>185</v>
      </c>
      <c r="F91">
        <v>2.5</v>
      </c>
      <c r="J91">
        <v>7</v>
      </c>
      <c r="M91">
        <f t="shared" si="2"/>
        <v>0</v>
      </c>
      <c r="N91">
        <f t="shared" si="3"/>
        <v>9.5</v>
      </c>
    </row>
    <row r="92" spans="1:14" x14ac:dyDescent="0.2">
      <c r="A92" t="s">
        <v>180</v>
      </c>
      <c r="B92" t="s">
        <v>181</v>
      </c>
      <c r="C92" t="s">
        <v>182</v>
      </c>
      <c r="D92" t="s">
        <v>183</v>
      </c>
      <c r="M92">
        <f t="shared" si="2"/>
        <v>0</v>
      </c>
      <c r="N92">
        <f t="shared" si="3"/>
        <v>0</v>
      </c>
    </row>
    <row r="93" spans="1:14" x14ac:dyDescent="0.2">
      <c r="A93" t="s">
        <v>180</v>
      </c>
      <c r="B93" t="s">
        <v>187</v>
      </c>
      <c r="C93" t="s">
        <v>51</v>
      </c>
      <c r="D93" t="s">
        <v>553</v>
      </c>
      <c r="M93">
        <f t="shared" si="2"/>
        <v>0</v>
      </c>
      <c r="N93">
        <f t="shared" si="3"/>
        <v>0</v>
      </c>
    </row>
    <row r="94" spans="1:14" x14ac:dyDescent="0.2">
      <c r="A94" t="s">
        <v>180</v>
      </c>
      <c r="B94" t="s">
        <v>187</v>
      </c>
      <c r="C94" t="s">
        <v>51</v>
      </c>
      <c r="D94" t="s">
        <v>192</v>
      </c>
      <c r="F94">
        <v>2.5</v>
      </c>
      <c r="J94">
        <v>30</v>
      </c>
      <c r="M94">
        <f t="shared" si="2"/>
        <v>0</v>
      </c>
      <c r="N94">
        <f t="shared" si="3"/>
        <v>32.5</v>
      </c>
    </row>
    <row r="95" spans="1:14" x14ac:dyDescent="0.2">
      <c r="A95" t="s">
        <v>180</v>
      </c>
      <c r="B95" t="s">
        <v>187</v>
      </c>
      <c r="C95" t="s">
        <v>190</v>
      </c>
      <c r="D95" t="s">
        <v>191</v>
      </c>
      <c r="F95">
        <v>3.5</v>
      </c>
      <c r="J95">
        <v>0</v>
      </c>
      <c r="M95">
        <f t="shared" si="2"/>
        <v>0</v>
      </c>
      <c r="N95">
        <f t="shared" si="3"/>
        <v>3.5</v>
      </c>
    </row>
    <row r="96" spans="1:14" x14ac:dyDescent="0.2">
      <c r="A96" t="s">
        <v>180</v>
      </c>
      <c r="B96" t="s">
        <v>187</v>
      </c>
      <c r="C96" t="s">
        <v>188</v>
      </c>
      <c r="D96" t="s">
        <v>189</v>
      </c>
      <c r="F96">
        <v>3.5</v>
      </c>
      <c r="J96">
        <v>40</v>
      </c>
      <c r="M96">
        <f t="shared" si="2"/>
        <v>0</v>
      </c>
      <c r="N96">
        <f t="shared" si="3"/>
        <v>43.5</v>
      </c>
    </row>
    <row r="97" spans="1:14" x14ac:dyDescent="0.2">
      <c r="A97" t="s">
        <v>193</v>
      </c>
      <c r="B97" t="s">
        <v>194</v>
      </c>
      <c r="C97" t="s">
        <v>195</v>
      </c>
      <c r="D97" t="s">
        <v>196</v>
      </c>
      <c r="F97">
        <v>12</v>
      </c>
      <c r="L97">
        <v>17</v>
      </c>
      <c r="M97">
        <f t="shared" si="2"/>
        <v>0</v>
      </c>
      <c r="N97">
        <f t="shared" si="3"/>
        <v>29</v>
      </c>
    </row>
    <row r="98" spans="1:14" x14ac:dyDescent="0.2">
      <c r="A98" t="s">
        <v>193</v>
      </c>
      <c r="B98" t="s">
        <v>194</v>
      </c>
      <c r="C98" t="s">
        <v>197</v>
      </c>
      <c r="D98" t="s">
        <v>198</v>
      </c>
      <c r="M98">
        <f t="shared" si="2"/>
        <v>0</v>
      </c>
      <c r="N98">
        <f t="shared" si="3"/>
        <v>0</v>
      </c>
    </row>
    <row r="99" spans="1:14" x14ac:dyDescent="0.2">
      <c r="A99" t="s">
        <v>193</v>
      </c>
      <c r="B99" t="s">
        <v>194</v>
      </c>
      <c r="C99" t="s">
        <v>197</v>
      </c>
      <c r="D99" t="s">
        <v>203</v>
      </c>
    </row>
    <row r="100" spans="1:14" x14ac:dyDescent="0.2">
      <c r="A100" t="s">
        <v>193</v>
      </c>
      <c r="B100" t="s">
        <v>194</v>
      </c>
      <c r="C100" t="s">
        <v>25</v>
      </c>
      <c r="D100" t="s">
        <v>199</v>
      </c>
      <c r="F100">
        <v>13</v>
      </c>
      <c r="K100">
        <v>7</v>
      </c>
      <c r="L100">
        <v>13</v>
      </c>
      <c r="M100">
        <f t="shared" ref="M100:M121" si="4">SUM(E100,G100,I100,K100)</f>
        <v>7</v>
      </c>
      <c r="N100">
        <f t="shared" ref="N100:N121" si="5">SUM(F100,H100,J100,L100)</f>
        <v>26</v>
      </c>
    </row>
    <row r="101" spans="1:14" x14ac:dyDescent="0.2">
      <c r="A101" t="s">
        <v>193</v>
      </c>
      <c r="B101" t="s">
        <v>194</v>
      </c>
      <c r="C101" t="s">
        <v>195</v>
      </c>
      <c r="D101" t="s">
        <v>200</v>
      </c>
      <c r="F101">
        <v>14</v>
      </c>
      <c r="L101">
        <v>16</v>
      </c>
      <c r="M101">
        <f t="shared" si="4"/>
        <v>0</v>
      </c>
      <c r="N101">
        <f t="shared" si="5"/>
        <v>30</v>
      </c>
    </row>
    <row r="102" spans="1:14" x14ac:dyDescent="0.2">
      <c r="A102" t="s">
        <v>193</v>
      </c>
      <c r="B102" t="s">
        <v>194</v>
      </c>
      <c r="C102" t="s">
        <v>25</v>
      </c>
      <c r="D102" t="s">
        <v>201</v>
      </c>
      <c r="M102">
        <f t="shared" si="4"/>
        <v>0</v>
      </c>
      <c r="N102">
        <f t="shared" si="5"/>
        <v>0</v>
      </c>
    </row>
    <row r="103" spans="1:14" x14ac:dyDescent="0.2">
      <c r="A103" t="s">
        <v>193</v>
      </c>
      <c r="B103" t="s">
        <v>194</v>
      </c>
      <c r="C103" t="s">
        <v>197</v>
      </c>
      <c r="D103" t="s">
        <v>202</v>
      </c>
      <c r="F103">
        <v>12</v>
      </c>
      <c r="K103">
        <v>1</v>
      </c>
      <c r="L103">
        <v>22</v>
      </c>
      <c r="M103">
        <f t="shared" si="4"/>
        <v>1</v>
      </c>
      <c r="N103">
        <f t="shared" si="5"/>
        <v>34</v>
      </c>
    </row>
    <row r="104" spans="1:14" x14ac:dyDescent="0.2">
      <c r="A104" t="s">
        <v>193</v>
      </c>
      <c r="B104" t="s">
        <v>194</v>
      </c>
      <c r="C104" t="s">
        <v>204</v>
      </c>
      <c r="D104" t="s">
        <v>205</v>
      </c>
      <c r="F104">
        <v>5</v>
      </c>
      <c r="K104">
        <v>4</v>
      </c>
      <c r="L104">
        <v>6</v>
      </c>
      <c r="M104">
        <f t="shared" si="4"/>
        <v>4</v>
      </c>
      <c r="N104">
        <f t="shared" si="5"/>
        <v>11</v>
      </c>
    </row>
    <row r="105" spans="1:14" x14ac:dyDescent="0.2">
      <c r="A105" t="s">
        <v>193</v>
      </c>
      <c r="B105" t="s">
        <v>194</v>
      </c>
      <c r="C105" t="s">
        <v>195</v>
      </c>
      <c r="D105" t="s">
        <v>206</v>
      </c>
      <c r="K105">
        <v>1</v>
      </c>
      <c r="L105">
        <v>23</v>
      </c>
      <c r="M105">
        <f t="shared" si="4"/>
        <v>1</v>
      </c>
      <c r="N105">
        <f t="shared" si="5"/>
        <v>23</v>
      </c>
    </row>
    <row r="106" spans="1:14" x14ac:dyDescent="0.2">
      <c r="A106" t="s">
        <v>193</v>
      </c>
      <c r="B106" t="s">
        <v>194</v>
      </c>
      <c r="C106" t="s">
        <v>195</v>
      </c>
      <c r="D106" t="s">
        <v>207</v>
      </c>
      <c r="F106">
        <v>4</v>
      </c>
      <c r="K106">
        <v>1</v>
      </c>
      <c r="L106">
        <v>9</v>
      </c>
      <c r="M106">
        <f t="shared" si="4"/>
        <v>1</v>
      </c>
      <c r="N106">
        <f t="shared" si="5"/>
        <v>13</v>
      </c>
    </row>
    <row r="107" spans="1:14" x14ac:dyDescent="0.2">
      <c r="A107" t="s">
        <v>193</v>
      </c>
      <c r="B107" t="s">
        <v>194</v>
      </c>
      <c r="C107" t="s">
        <v>195</v>
      </c>
      <c r="D107" t="s">
        <v>208</v>
      </c>
      <c r="F107">
        <v>10</v>
      </c>
      <c r="K107">
        <v>2</v>
      </c>
      <c r="L107">
        <v>4</v>
      </c>
      <c r="M107">
        <f t="shared" si="4"/>
        <v>2</v>
      </c>
      <c r="N107">
        <f t="shared" si="5"/>
        <v>14</v>
      </c>
    </row>
    <row r="108" spans="1:14" x14ac:dyDescent="0.2">
      <c r="A108" t="s">
        <v>193</v>
      </c>
      <c r="B108" t="s">
        <v>194</v>
      </c>
      <c r="C108" t="s">
        <v>195</v>
      </c>
      <c r="D108" t="s">
        <v>209</v>
      </c>
      <c r="F108">
        <v>5</v>
      </c>
      <c r="K108">
        <v>1</v>
      </c>
      <c r="L108">
        <v>10</v>
      </c>
      <c r="M108">
        <f t="shared" si="4"/>
        <v>1</v>
      </c>
      <c r="N108">
        <f t="shared" si="5"/>
        <v>15</v>
      </c>
    </row>
    <row r="109" spans="1:14" x14ac:dyDescent="0.2">
      <c r="A109" t="s">
        <v>193</v>
      </c>
      <c r="B109" t="s">
        <v>194</v>
      </c>
      <c r="C109" t="s">
        <v>204</v>
      </c>
      <c r="D109" t="s">
        <v>210</v>
      </c>
      <c r="F109">
        <v>12</v>
      </c>
      <c r="K109">
        <v>3</v>
      </c>
      <c r="L109">
        <v>8</v>
      </c>
      <c r="M109">
        <f t="shared" si="4"/>
        <v>3</v>
      </c>
      <c r="N109">
        <f t="shared" si="5"/>
        <v>20</v>
      </c>
    </row>
    <row r="110" spans="1:14" x14ac:dyDescent="0.2">
      <c r="A110" t="s">
        <v>193</v>
      </c>
      <c r="B110" t="s">
        <v>194</v>
      </c>
      <c r="C110" t="s">
        <v>195</v>
      </c>
      <c r="D110" t="s">
        <v>211</v>
      </c>
      <c r="F110">
        <v>13</v>
      </c>
      <c r="K110">
        <v>3</v>
      </c>
      <c r="L110">
        <v>8</v>
      </c>
      <c r="M110">
        <f t="shared" si="4"/>
        <v>3</v>
      </c>
      <c r="N110">
        <f t="shared" si="5"/>
        <v>21</v>
      </c>
    </row>
    <row r="111" spans="1:14" x14ac:dyDescent="0.2">
      <c r="A111" t="s">
        <v>193</v>
      </c>
      <c r="B111" t="s">
        <v>194</v>
      </c>
      <c r="C111" t="s">
        <v>195</v>
      </c>
      <c r="D111" t="s">
        <v>212</v>
      </c>
      <c r="F111">
        <v>5</v>
      </c>
      <c r="K111">
        <v>2</v>
      </c>
      <c r="L111">
        <v>11</v>
      </c>
      <c r="M111">
        <f t="shared" si="4"/>
        <v>2</v>
      </c>
      <c r="N111">
        <f t="shared" si="5"/>
        <v>16</v>
      </c>
    </row>
    <row r="112" spans="1:14" x14ac:dyDescent="0.2">
      <c r="A112" t="s">
        <v>193</v>
      </c>
      <c r="B112" t="s">
        <v>194</v>
      </c>
      <c r="C112" t="s">
        <v>195</v>
      </c>
      <c r="D112" t="s">
        <v>213</v>
      </c>
      <c r="L112">
        <v>6</v>
      </c>
      <c r="M112">
        <f t="shared" si="4"/>
        <v>0</v>
      </c>
      <c r="N112">
        <f t="shared" si="5"/>
        <v>6</v>
      </c>
    </row>
    <row r="113" spans="1:14" x14ac:dyDescent="0.2">
      <c r="A113" t="s">
        <v>193</v>
      </c>
      <c r="B113" t="s">
        <v>194</v>
      </c>
      <c r="C113" t="s">
        <v>214</v>
      </c>
      <c r="D113" t="s">
        <v>215</v>
      </c>
      <c r="F113">
        <v>15</v>
      </c>
      <c r="K113">
        <v>7</v>
      </c>
      <c r="L113">
        <v>11</v>
      </c>
      <c r="M113">
        <f t="shared" si="4"/>
        <v>7</v>
      </c>
      <c r="N113">
        <f t="shared" si="5"/>
        <v>26</v>
      </c>
    </row>
    <row r="114" spans="1:14" x14ac:dyDescent="0.2">
      <c r="A114" t="s">
        <v>193</v>
      </c>
      <c r="B114" t="s">
        <v>194</v>
      </c>
      <c r="C114" t="s">
        <v>204</v>
      </c>
      <c r="D114" t="s">
        <v>216</v>
      </c>
      <c r="F114">
        <v>11</v>
      </c>
      <c r="K114">
        <v>4</v>
      </c>
      <c r="L114">
        <v>4</v>
      </c>
      <c r="M114">
        <f t="shared" si="4"/>
        <v>4</v>
      </c>
      <c r="N114">
        <f t="shared" si="5"/>
        <v>15</v>
      </c>
    </row>
    <row r="115" spans="1:14" x14ac:dyDescent="0.2">
      <c r="A115" t="s">
        <v>193</v>
      </c>
      <c r="B115" t="s">
        <v>194</v>
      </c>
      <c r="C115" t="s">
        <v>204</v>
      </c>
      <c r="D115" t="s">
        <v>217</v>
      </c>
      <c r="F115">
        <v>12</v>
      </c>
      <c r="K115">
        <v>3</v>
      </c>
      <c r="L115">
        <v>21</v>
      </c>
      <c r="M115">
        <f t="shared" si="4"/>
        <v>3</v>
      </c>
      <c r="N115">
        <f t="shared" si="5"/>
        <v>33</v>
      </c>
    </row>
    <row r="116" spans="1:14" x14ac:dyDescent="0.2">
      <c r="A116" t="s">
        <v>193</v>
      </c>
      <c r="B116" t="s">
        <v>194</v>
      </c>
      <c r="C116" t="s">
        <v>195</v>
      </c>
      <c r="D116" t="s">
        <v>220</v>
      </c>
      <c r="F116">
        <v>5</v>
      </c>
      <c r="L116">
        <v>17</v>
      </c>
      <c r="M116">
        <f t="shared" si="4"/>
        <v>0</v>
      </c>
      <c r="N116">
        <f t="shared" si="5"/>
        <v>22</v>
      </c>
    </row>
    <row r="117" spans="1:14" x14ac:dyDescent="0.2">
      <c r="A117" t="s">
        <v>193</v>
      </c>
      <c r="B117" t="s">
        <v>194</v>
      </c>
      <c r="C117" t="s">
        <v>195</v>
      </c>
      <c r="D117" t="s">
        <v>221</v>
      </c>
      <c r="F117">
        <v>5</v>
      </c>
      <c r="L117">
        <v>1</v>
      </c>
      <c r="M117">
        <f t="shared" si="4"/>
        <v>0</v>
      </c>
      <c r="N117">
        <f t="shared" si="5"/>
        <v>6</v>
      </c>
    </row>
    <row r="118" spans="1:14" x14ac:dyDescent="0.2">
      <c r="A118" t="s">
        <v>193</v>
      </c>
      <c r="B118" t="s">
        <v>194</v>
      </c>
      <c r="C118" t="s">
        <v>195</v>
      </c>
      <c r="D118" t="s">
        <v>554</v>
      </c>
      <c r="M118">
        <f t="shared" si="4"/>
        <v>0</v>
      </c>
      <c r="N118">
        <f t="shared" si="5"/>
        <v>0</v>
      </c>
    </row>
    <row r="119" spans="1:14" x14ac:dyDescent="0.2">
      <c r="A119" t="s">
        <v>193</v>
      </c>
      <c r="B119" t="s">
        <v>194</v>
      </c>
      <c r="C119" t="s">
        <v>25</v>
      </c>
      <c r="D119" t="s">
        <v>224</v>
      </c>
      <c r="M119">
        <f t="shared" si="4"/>
        <v>0</v>
      </c>
      <c r="N119">
        <f t="shared" si="5"/>
        <v>0</v>
      </c>
    </row>
    <row r="120" spans="1:14" x14ac:dyDescent="0.2">
      <c r="A120" t="s">
        <v>193</v>
      </c>
      <c r="B120" t="s">
        <v>194</v>
      </c>
      <c r="C120" t="s">
        <v>197</v>
      </c>
      <c r="D120" t="s">
        <v>225</v>
      </c>
      <c r="M120">
        <f t="shared" si="4"/>
        <v>0</v>
      </c>
      <c r="N120">
        <f t="shared" si="5"/>
        <v>0</v>
      </c>
    </row>
    <row r="121" spans="1:14" x14ac:dyDescent="0.2">
      <c r="A121" t="s">
        <v>193</v>
      </c>
      <c r="B121" t="s">
        <v>194</v>
      </c>
      <c r="C121" t="s">
        <v>197</v>
      </c>
      <c r="D121" t="s">
        <v>226</v>
      </c>
      <c r="M121">
        <f t="shared" si="4"/>
        <v>0</v>
      </c>
      <c r="N121">
        <f t="shared" si="5"/>
        <v>0</v>
      </c>
    </row>
    <row r="122" spans="1:14" x14ac:dyDescent="0.2">
      <c r="A122" t="s">
        <v>193</v>
      </c>
      <c r="B122" t="s">
        <v>194</v>
      </c>
      <c r="C122" t="s">
        <v>222</v>
      </c>
      <c r="D122" t="s">
        <v>223</v>
      </c>
    </row>
    <row r="123" spans="1:14" x14ac:dyDescent="0.2">
      <c r="A123" t="s">
        <v>193</v>
      </c>
      <c r="B123" t="s">
        <v>48</v>
      </c>
      <c r="C123" t="s">
        <v>51</v>
      </c>
      <c r="D123" t="s">
        <v>227</v>
      </c>
      <c r="M123">
        <f t="shared" ref="M123:M154" si="6">SUM(E123,G123,I123,K123)</f>
        <v>0</v>
      </c>
      <c r="N123">
        <f t="shared" ref="N123:N154" si="7">SUM(F123,H123,J123,L123)</f>
        <v>0</v>
      </c>
    </row>
    <row r="124" spans="1:14" x14ac:dyDescent="0.2">
      <c r="A124" t="s">
        <v>193</v>
      </c>
      <c r="B124" t="s">
        <v>228</v>
      </c>
      <c r="C124" t="s">
        <v>56</v>
      </c>
      <c r="D124" t="s">
        <v>229</v>
      </c>
      <c r="M124">
        <f t="shared" si="6"/>
        <v>0</v>
      </c>
      <c r="N124">
        <f t="shared" si="7"/>
        <v>0</v>
      </c>
    </row>
    <row r="125" spans="1:14" x14ac:dyDescent="0.2">
      <c r="A125" t="s">
        <v>193</v>
      </c>
      <c r="B125" t="s">
        <v>230</v>
      </c>
      <c r="C125" t="s">
        <v>231</v>
      </c>
      <c r="D125" t="s">
        <v>232</v>
      </c>
      <c r="L125">
        <v>13</v>
      </c>
      <c r="M125">
        <f t="shared" si="6"/>
        <v>0</v>
      </c>
      <c r="N125">
        <f t="shared" si="7"/>
        <v>13</v>
      </c>
    </row>
    <row r="126" spans="1:14" x14ac:dyDescent="0.2">
      <c r="A126" t="s">
        <v>193</v>
      </c>
      <c r="B126" t="s">
        <v>233</v>
      </c>
      <c r="C126" t="s">
        <v>231</v>
      </c>
      <c r="D126" t="s">
        <v>234</v>
      </c>
      <c r="L126">
        <v>14</v>
      </c>
      <c r="M126">
        <f t="shared" si="6"/>
        <v>0</v>
      </c>
      <c r="N126">
        <f t="shared" si="7"/>
        <v>14</v>
      </c>
    </row>
    <row r="127" spans="1:14" x14ac:dyDescent="0.2">
      <c r="A127" t="s">
        <v>193</v>
      </c>
      <c r="B127" t="s">
        <v>233</v>
      </c>
      <c r="C127" t="s">
        <v>190</v>
      </c>
      <c r="D127" t="s">
        <v>235</v>
      </c>
      <c r="M127">
        <f t="shared" si="6"/>
        <v>0</v>
      </c>
      <c r="N127">
        <f t="shared" si="7"/>
        <v>0</v>
      </c>
    </row>
    <row r="128" spans="1:14" x14ac:dyDescent="0.2">
      <c r="A128" t="s">
        <v>193</v>
      </c>
      <c r="B128" t="s">
        <v>233</v>
      </c>
      <c r="C128" t="s">
        <v>190</v>
      </c>
      <c r="D128" t="s">
        <v>236</v>
      </c>
      <c r="F128">
        <v>0.7</v>
      </c>
      <c r="J128">
        <v>26</v>
      </c>
      <c r="M128">
        <f t="shared" si="6"/>
        <v>0</v>
      </c>
      <c r="N128">
        <f t="shared" si="7"/>
        <v>26.7</v>
      </c>
    </row>
    <row r="129" spans="1:14" x14ac:dyDescent="0.2">
      <c r="A129" t="s">
        <v>193</v>
      </c>
      <c r="B129" t="s">
        <v>233</v>
      </c>
      <c r="C129" t="s">
        <v>190</v>
      </c>
      <c r="D129" t="s">
        <v>237</v>
      </c>
      <c r="M129">
        <f t="shared" si="6"/>
        <v>0</v>
      </c>
      <c r="N129">
        <f t="shared" si="7"/>
        <v>0</v>
      </c>
    </row>
    <row r="130" spans="1:14" x14ac:dyDescent="0.2">
      <c r="A130" t="s">
        <v>193</v>
      </c>
      <c r="B130" t="s">
        <v>233</v>
      </c>
      <c r="C130" t="s">
        <v>190</v>
      </c>
      <c r="D130" t="s">
        <v>238</v>
      </c>
      <c r="F130">
        <v>0.2</v>
      </c>
      <c r="J130">
        <v>8</v>
      </c>
      <c r="M130">
        <f t="shared" si="6"/>
        <v>0</v>
      </c>
      <c r="N130">
        <f t="shared" si="7"/>
        <v>8.1999999999999993</v>
      </c>
    </row>
    <row r="131" spans="1:14" x14ac:dyDescent="0.2">
      <c r="A131" t="s">
        <v>193</v>
      </c>
      <c r="B131" t="s">
        <v>233</v>
      </c>
      <c r="C131" t="s">
        <v>190</v>
      </c>
      <c r="D131" t="s">
        <v>555</v>
      </c>
      <c r="F131">
        <v>1</v>
      </c>
      <c r="J131">
        <v>47</v>
      </c>
      <c r="M131">
        <f t="shared" si="6"/>
        <v>0</v>
      </c>
      <c r="N131">
        <f t="shared" si="7"/>
        <v>48</v>
      </c>
    </row>
    <row r="132" spans="1:14" x14ac:dyDescent="0.2">
      <c r="A132" t="s">
        <v>193</v>
      </c>
      <c r="B132" t="s">
        <v>233</v>
      </c>
      <c r="C132" t="s">
        <v>240</v>
      </c>
      <c r="D132" t="s">
        <v>556</v>
      </c>
      <c r="M132">
        <f t="shared" si="6"/>
        <v>0</v>
      </c>
      <c r="N132">
        <f t="shared" si="7"/>
        <v>0</v>
      </c>
    </row>
    <row r="133" spans="1:14" x14ac:dyDescent="0.2">
      <c r="A133" t="s">
        <v>193</v>
      </c>
      <c r="B133" t="s">
        <v>233</v>
      </c>
      <c r="C133" t="s">
        <v>190</v>
      </c>
      <c r="D133" t="s">
        <v>242</v>
      </c>
      <c r="F133">
        <v>0.8</v>
      </c>
      <c r="J133">
        <v>16</v>
      </c>
      <c r="M133">
        <f t="shared" si="6"/>
        <v>0</v>
      </c>
      <c r="N133">
        <f t="shared" si="7"/>
        <v>16.8</v>
      </c>
    </row>
    <row r="134" spans="1:14" x14ac:dyDescent="0.2">
      <c r="A134" t="s">
        <v>193</v>
      </c>
      <c r="B134" t="s">
        <v>233</v>
      </c>
      <c r="C134" t="s">
        <v>67</v>
      </c>
      <c r="D134" t="s">
        <v>243</v>
      </c>
      <c r="F134">
        <v>0.3</v>
      </c>
      <c r="J134">
        <v>10</v>
      </c>
      <c r="M134">
        <f t="shared" si="6"/>
        <v>0</v>
      </c>
      <c r="N134">
        <f t="shared" si="7"/>
        <v>10.3</v>
      </c>
    </row>
    <row r="135" spans="1:14" x14ac:dyDescent="0.2">
      <c r="A135" t="s">
        <v>193</v>
      </c>
      <c r="B135" t="s">
        <v>233</v>
      </c>
      <c r="C135" t="s">
        <v>67</v>
      </c>
      <c r="D135" t="s">
        <v>244</v>
      </c>
      <c r="F135">
        <v>1.3</v>
      </c>
      <c r="J135">
        <v>9</v>
      </c>
      <c r="L135">
        <v>2</v>
      </c>
      <c r="M135">
        <f t="shared" si="6"/>
        <v>0</v>
      </c>
      <c r="N135">
        <f t="shared" si="7"/>
        <v>12.3</v>
      </c>
    </row>
    <row r="136" spans="1:14" x14ac:dyDescent="0.2">
      <c r="A136" t="s">
        <v>193</v>
      </c>
      <c r="B136" t="s">
        <v>233</v>
      </c>
      <c r="C136" t="s">
        <v>245</v>
      </c>
      <c r="D136" t="s">
        <v>557</v>
      </c>
      <c r="F136">
        <v>1.6</v>
      </c>
      <c r="J136">
        <v>4</v>
      </c>
      <c r="M136">
        <f t="shared" si="6"/>
        <v>0</v>
      </c>
      <c r="N136">
        <f t="shared" si="7"/>
        <v>5.6</v>
      </c>
    </row>
    <row r="137" spans="1:14" x14ac:dyDescent="0.2">
      <c r="A137" t="s">
        <v>193</v>
      </c>
      <c r="B137" t="s">
        <v>233</v>
      </c>
      <c r="C137" t="s">
        <v>247</v>
      </c>
      <c r="D137" t="s">
        <v>248</v>
      </c>
      <c r="F137">
        <v>0.4</v>
      </c>
      <c r="M137">
        <f t="shared" si="6"/>
        <v>0</v>
      </c>
      <c r="N137">
        <f t="shared" si="7"/>
        <v>0.4</v>
      </c>
    </row>
    <row r="138" spans="1:14" x14ac:dyDescent="0.2">
      <c r="A138" t="s">
        <v>193</v>
      </c>
      <c r="B138" t="s">
        <v>233</v>
      </c>
      <c r="C138" t="s">
        <v>249</v>
      </c>
      <c r="D138" t="s">
        <v>250</v>
      </c>
      <c r="F138">
        <v>15</v>
      </c>
      <c r="L138">
        <v>4</v>
      </c>
      <c r="M138">
        <f t="shared" si="6"/>
        <v>0</v>
      </c>
      <c r="N138">
        <f t="shared" si="7"/>
        <v>19</v>
      </c>
    </row>
    <row r="139" spans="1:14" x14ac:dyDescent="0.2">
      <c r="A139" t="s">
        <v>193</v>
      </c>
      <c r="B139" t="s">
        <v>175</v>
      </c>
      <c r="C139" t="s">
        <v>190</v>
      </c>
      <c r="D139" t="s">
        <v>251</v>
      </c>
      <c r="F139">
        <v>1.3</v>
      </c>
      <c r="J139">
        <v>3</v>
      </c>
      <c r="M139">
        <f t="shared" si="6"/>
        <v>0</v>
      </c>
      <c r="N139">
        <f t="shared" si="7"/>
        <v>4.3</v>
      </c>
    </row>
    <row r="140" spans="1:14" x14ac:dyDescent="0.2">
      <c r="A140" t="s">
        <v>193</v>
      </c>
      <c r="B140" t="s">
        <v>175</v>
      </c>
      <c r="C140" t="s">
        <v>252</v>
      </c>
      <c r="D140" t="s">
        <v>253</v>
      </c>
      <c r="F140">
        <v>10</v>
      </c>
      <c r="L140">
        <v>10</v>
      </c>
      <c r="M140">
        <f t="shared" si="6"/>
        <v>0</v>
      </c>
      <c r="N140">
        <f t="shared" si="7"/>
        <v>20</v>
      </c>
    </row>
    <row r="141" spans="1:14" x14ac:dyDescent="0.2">
      <c r="A141" t="s">
        <v>193</v>
      </c>
      <c r="B141" t="s">
        <v>175</v>
      </c>
      <c r="C141" t="s">
        <v>252</v>
      </c>
      <c r="D141" t="s">
        <v>254</v>
      </c>
      <c r="F141">
        <v>15</v>
      </c>
      <c r="L141">
        <v>10</v>
      </c>
      <c r="M141">
        <f t="shared" si="6"/>
        <v>0</v>
      </c>
      <c r="N141">
        <f t="shared" si="7"/>
        <v>25</v>
      </c>
    </row>
    <row r="142" spans="1:14" x14ac:dyDescent="0.2">
      <c r="A142" t="s">
        <v>193</v>
      </c>
      <c r="B142" t="s">
        <v>175</v>
      </c>
      <c r="C142" t="s">
        <v>249</v>
      </c>
      <c r="D142" t="s">
        <v>255</v>
      </c>
      <c r="F142">
        <v>9</v>
      </c>
      <c r="L142">
        <v>17</v>
      </c>
      <c r="M142">
        <f t="shared" si="6"/>
        <v>0</v>
      </c>
      <c r="N142">
        <f t="shared" si="7"/>
        <v>26</v>
      </c>
    </row>
    <row r="143" spans="1:14" x14ac:dyDescent="0.2">
      <c r="A143" t="s">
        <v>193</v>
      </c>
      <c r="B143" t="s">
        <v>558</v>
      </c>
      <c r="C143" t="s">
        <v>195</v>
      </c>
      <c r="D143" t="s">
        <v>559</v>
      </c>
      <c r="M143">
        <f t="shared" si="6"/>
        <v>0</v>
      </c>
      <c r="N143">
        <f t="shared" si="7"/>
        <v>0</v>
      </c>
    </row>
    <row r="144" spans="1:14" x14ac:dyDescent="0.2">
      <c r="A144" t="s">
        <v>193</v>
      </c>
      <c r="B144" t="s">
        <v>256</v>
      </c>
      <c r="C144" t="s">
        <v>257</v>
      </c>
      <c r="D144" t="s">
        <v>258</v>
      </c>
      <c r="L144">
        <v>2</v>
      </c>
      <c r="M144">
        <f t="shared" si="6"/>
        <v>0</v>
      </c>
      <c r="N144">
        <f t="shared" si="7"/>
        <v>2</v>
      </c>
    </row>
    <row r="145" spans="1:14" x14ac:dyDescent="0.2">
      <c r="A145" t="s">
        <v>193</v>
      </c>
      <c r="B145" t="s">
        <v>256</v>
      </c>
      <c r="C145" t="s">
        <v>259</v>
      </c>
      <c r="D145" t="s">
        <v>260</v>
      </c>
      <c r="M145">
        <f t="shared" si="6"/>
        <v>0</v>
      </c>
      <c r="N145">
        <f t="shared" si="7"/>
        <v>0</v>
      </c>
    </row>
    <row r="146" spans="1:14" x14ac:dyDescent="0.2">
      <c r="A146" t="s">
        <v>193</v>
      </c>
      <c r="B146" t="s">
        <v>261</v>
      </c>
      <c r="C146" t="s">
        <v>262</v>
      </c>
      <c r="D146" t="s">
        <v>263</v>
      </c>
      <c r="F146">
        <v>3</v>
      </c>
      <c r="L146">
        <v>6</v>
      </c>
      <c r="M146">
        <f t="shared" si="6"/>
        <v>0</v>
      </c>
      <c r="N146">
        <f t="shared" si="7"/>
        <v>9</v>
      </c>
    </row>
    <row r="147" spans="1:14" x14ac:dyDescent="0.2">
      <c r="A147" t="s">
        <v>193</v>
      </c>
      <c r="B147" t="s">
        <v>261</v>
      </c>
      <c r="C147" t="s">
        <v>25</v>
      </c>
      <c r="D147" t="s">
        <v>264</v>
      </c>
      <c r="F147">
        <v>10</v>
      </c>
      <c r="L147">
        <v>28</v>
      </c>
      <c r="M147">
        <f t="shared" si="6"/>
        <v>0</v>
      </c>
      <c r="N147">
        <f t="shared" si="7"/>
        <v>38</v>
      </c>
    </row>
    <row r="148" spans="1:14" x14ac:dyDescent="0.2">
      <c r="A148" t="s">
        <v>193</v>
      </c>
      <c r="B148" t="s">
        <v>261</v>
      </c>
      <c r="C148" t="s">
        <v>262</v>
      </c>
      <c r="D148" t="s">
        <v>265</v>
      </c>
      <c r="F148">
        <v>5</v>
      </c>
      <c r="K148">
        <v>2</v>
      </c>
      <c r="L148">
        <v>2</v>
      </c>
      <c r="M148">
        <f t="shared" si="6"/>
        <v>2</v>
      </c>
      <c r="N148">
        <f t="shared" si="7"/>
        <v>7</v>
      </c>
    </row>
    <row r="149" spans="1:14" x14ac:dyDescent="0.2">
      <c r="A149" t="s">
        <v>193</v>
      </c>
      <c r="B149" t="s">
        <v>261</v>
      </c>
      <c r="C149" t="s">
        <v>25</v>
      </c>
      <c r="D149" t="s">
        <v>266</v>
      </c>
      <c r="F149">
        <v>10</v>
      </c>
      <c r="K149">
        <v>1</v>
      </c>
      <c r="L149">
        <v>27</v>
      </c>
      <c r="M149">
        <f t="shared" si="6"/>
        <v>1</v>
      </c>
      <c r="N149">
        <f t="shared" si="7"/>
        <v>37</v>
      </c>
    </row>
    <row r="150" spans="1:14" x14ac:dyDescent="0.2">
      <c r="A150" t="s">
        <v>267</v>
      </c>
      <c r="B150" t="s">
        <v>274</v>
      </c>
      <c r="C150" t="s">
        <v>275</v>
      </c>
      <c r="D150" t="s">
        <v>276</v>
      </c>
      <c r="M150">
        <f t="shared" si="6"/>
        <v>0</v>
      </c>
      <c r="N150">
        <f t="shared" si="7"/>
        <v>0</v>
      </c>
    </row>
    <row r="151" spans="1:14" x14ac:dyDescent="0.2">
      <c r="A151" t="s">
        <v>267</v>
      </c>
      <c r="B151" t="s">
        <v>274</v>
      </c>
      <c r="C151" t="s">
        <v>379</v>
      </c>
      <c r="D151" t="s">
        <v>380</v>
      </c>
      <c r="M151">
        <f t="shared" si="6"/>
        <v>0</v>
      </c>
      <c r="N151">
        <f t="shared" si="7"/>
        <v>0</v>
      </c>
    </row>
    <row r="152" spans="1:14" x14ac:dyDescent="0.2">
      <c r="A152" t="s">
        <v>267</v>
      </c>
      <c r="B152" t="s">
        <v>289</v>
      </c>
      <c r="C152" t="s">
        <v>72</v>
      </c>
      <c r="D152" t="s">
        <v>290</v>
      </c>
      <c r="F152">
        <v>0.2</v>
      </c>
      <c r="J152">
        <v>1</v>
      </c>
      <c r="M152">
        <f t="shared" si="6"/>
        <v>0</v>
      </c>
      <c r="N152">
        <f t="shared" si="7"/>
        <v>1.2</v>
      </c>
    </row>
    <row r="153" spans="1:14" x14ac:dyDescent="0.2">
      <c r="A153" t="s">
        <v>267</v>
      </c>
      <c r="B153" t="s">
        <v>289</v>
      </c>
      <c r="C153" t="s">
        <v>72</v>
      </c>
      <c r="D153" t="s">
        <v>291</v>
      </c>
      <c r="J153">
        <v>0.9</v>
      </c>
      <c r="M153">
        <f t="shared" si="6"/>
        <v>0</v>
      </c>
      <c r="N153">
        <f t="shared" si="7"/>
        <v>0.9</v>
      </c>
    </row>
    <row r="154" spans="1:14" x14ac:dyDescent="0.2">
      <c r="A154" t="s">
        <v>267</v>
      </c>
      <c r="B154" t="s">
        <v>289</v>
      </c>
      <c r="C154" t="s">
        <v>72</v>
      </c>
      <c r="D154" t="s">
        <v>346</v>
      </c>
      <c r="M154">
        <f t="shared" si="6"/>
        <v>0</v>
      </c>
      <c r="N154">
        <f t="shared" si="7"/>
        <v>0</v>
      </c>
    </row>
    <row r="155" spans="1:14" x14ac:dyDescent="0.2">
      <c r="A155" t="s">
        <v>267</v>
      </c>
      <c r="B155" t="s">
        <v>289</v>
      </c>
      <c r="C155" t="s">
        <v>72</v>
      </c>
      <c r="D155" t="s">
        <v>355</v>
      </c>
      <c r="F155">
        <v>0.8</v>
      </c>
      <c r="M155">
        <f t="shared" ref="M155:M186" si="8">SUM(E155,G155,I155,K155)</f>
        <v>0</v>
      </c>
      <c r="N155">
        <f t="shared" ref="N155:N186" si="9">SUM(F155,H155,J155,L155)</f>
        <v>0.8</v>
      </c>
    </row>
    <row r="156" spans="1:14" x14ac:dyDescent="0.2">
      <c r="A156" t="s">
        <v>267</v>
      </c>
      <c r="B156" t="s">
        <v>289</v>
      </c>
      <c r="C156" t="s">
        <v>72</v>
      </c>
      <c r="D156" t="s">
        <v>364</v>
      </c>
      <c r="F156">
        <v>0.9</v>
      </c>
      <c r="J156">
        <v>1</v>
      </c>
      <c r="M156">
        <f t="shared" si="8"/>
        <v>0</v>
      </c>
      <c r="N156">
        <f t="shared" si="9"/>
        <v>1.9</v>
      </c>
    </row>
    <row r="157" spans="1:14" x14ac:dyDescent="0.2">
      <c r="A157" t="s">
        <v>267</v>
      </c>
      <c r="B157" t="s">
        <v>289</v>
      </c>
      <c r="C157" t="s">
        <v>72</v>
      </c>
      <c r="D157" t="s">
        <v>399</v>
      </c>
      <c r="F157">
        <v>0.9</v>
      </c>
      <c r="M157">
        <f t="shared" si="8"/>
        <v>0</v>
      </c>
      <c r="N157">
        <f t="shared" si="9"/>
        <v>0.9</v>
      </c>
    </row>
    <row r="158" spans="1:14" x14ac:dyDescent="0.2">
      <c r="A158" t="s">
        <v>267</v>
      </c>
      <c r="B158" t="s">
        <v>289</v>
      </c>
      <c r="C158" t="s">
        <v>53</v>
      </c>
      <c r="D158" t="s">
        <v>418</v>
      </c>
      <c r="F158">
        <v>0.5</v>
      </c>
      <c r="M158">
        <f t="shared" si="8"/>
        <v>0</v>
      </c>
      <c r="N158">
        <f t="shared" si="9"/>
        <v>0.5</v>
      </c>
    </row>
    <row r="159" spans="1:14" x14ac:dyDescent="0.2">
      <c r="A159" t="s">
        <v>267</v>
      </c>
      <c r="B159" t="s">
        <v>317</v>
      </c>
      <c r="C159" t="s">
        <v>53</v>
      </c>
      <c r="D159" t="s">
        <v>318</v>
      </c>
      <c r="F159">
        <v>0.6</v>
      </c>
      <c r="J159">
        <v>1</v>
      </c>
      <c r="M159">
        <f t="shared" si="8"/>
        <v>0</v>
      </c>
      <c r="N159">
        <f t="shared" si="9"/>
        <v>1.6</v>
      </c>
    </row>
    <row r="160" spans="1:14" x14ac:dyDescent="0.2">
      <c r="A160" t="s">
        <v>267</v>
      </c>
      <c r="B160" t="s">
        <v>317</v>
      </c>
      <c r="C160" t="s">
        <v>72</v>
      </c>
      <c r="D160" t="s">
        <v>319</v>
      </c>
      <c r="F160">
        <v>0.6</v>
      </c>
      <c r="M160">
        <f t="shared" si="8"/>
        <v>0</v>
      </c>
      <c r="N160">
        <f t="shared" si="9"/>
        <v>0.6</v>
      </c>
    </row>
    <row r="161" spans="1:14" x14ac:dyDescent="0.2">
      <c r="A161" t="s">
        <v>267</v>
      </c>
      <c r="B161" t="s">
        <v>317</v>
      </c>
      <c r="C161" t="s">
        <v>72</v>
      </c>
      <c r="D161" t="s">
        <v>343</v>
      </c>
      <c r="M161">
        <f t="shared" si="8"/>
        <v>0</v>
      </c>
      <c r="N161">
        <f t="shared" si="9"/>
        <v>0</v>
      </c>
    </row>
    <row r="162" spans="1:14" x14ac:dyDescent="0.2">
      <c r="A162" t="s">
        <v>267</v>
      </c>
      <c r="B162" t="s">
        <v>317</v>
      </c>
      <c r="C162" t="s">
        <v>72</v>
      </c>
      <c r="D162" t="s">
        <v>344</v>
      </c>
      <c r="J162">
        <v>0.8</v>
      </c>
      <c r="M162">
        <f t="shared" si="8"/>
        <v>0</v>
      </c>
      <c r="N162">
        <f t="shared" si="9"/>
        <v>0.8</v>
      </c>
    </row>
    <row r="163" spans="1:14" x14ac:dyDescent="0.2">
      <c r="A163" t="s">
        <v>267</v>
      </c>
      <c r="B163" t="s">
        <v>317</v>
      </c>
      <c r="C163" t="s">
        <v>72</v>
      </c>
      <c r="D163" t="s">
        <v>350</v>
      </c>
      <c r="F163">
        <v>0.9</v>
      </c>
      <c r="M163">
        <f t="shared" si="8"/>
        <v>0</v>
      </c>
      <c r="N163">
        <f t="shared" si="9"/>
        <v>0.9</v>
      </c>
    </row>
    <row r="164" spans="1:14" x14ac:dyDescent="0.2">
      <c r="A164" t="s">
        <v>267</v>
      </c>
      <c r="B164" t="s">
        <v>317</v>
      </c>
      <c r="C164" t="s">
        <v>72</v>
      </c>
      <c r="D164" t="s">
        <v>371</v>
      </c>
      <c r="J164">
        <v>1.1000000000000001</v>
      </c>
      <c r="M164">
        <f t="shared" si="8"/>
        <v>0</v>
      </c>
      <c r="N164">
        <f t="shared" si="9"/>
        <v>1.1000000000000001</v>
      </c>
    </row>
    <row r="165" spans="1:14" x14ac:dyDescent="0.2">
      <c r="A165" t="s">
        <v>267</v>
      </c>
      <c r="B165" t="s">
        <v>317</v>
      </c>
      <c r="C165" t="s">
        <v>72</v>
      </c>
      <c r="D165" t="s">
        <v>392</v>
      </c>
      <c r="F165">
        <v>0.7</v>
      </c>
      <c r="M165">
        <f t="shared" si="8"/>
        <v>0</v>
      </c>
      <c r="N165">
        <f t="shared" si="9"/>
        <v>0.7</v>
      </c>
    </row>
    <row r="166" spans="1:14" x14ac:dyDescent="0.2">
      <c r="A166" t="s">
        <v>267</v>
      </c>
      <c r="B166" t="s">
        <v>358</v>
      </c>
      <c r="C166" t="s">
        <v>359</v>
      </c>
      <c r="D166" t="s">
        <v>360</v>
      </c>
      <c r="F166">
        <v>1</v>
      </c>
      <c r="M166">
        <f t="shared" si="8"/>
        <v>0</v>
      </c>
      <c r="N166">
        <f t="shared" si="9"/>
        <v>1</v>
      </c>
    </row>
    <row r="167" spans="1:14" x14ac:dyDescent="0.2">
      <c r="A167" t="s">
        <v>267</v>
      </c>
      <c r="B167" t="s">
        <v>283</v>
      </c>
      <c r="C167" t="s">
        <v>72</v>
      </c>
      <c r="D167" t="s">
        <v>284</v>
      </c>
      <c r="F167">
        <v>1</v>
      </c>
      <c r="H167">
        <v>1</v>
      </c>
      <c r="M167">
        <f t="shared" si="8"/>
        <v>0</v>
      </c>
      <c r="N167">
        <f t="shared" si="9"/>
        <v>2</v>
      </c>
    </row>
    <row r="168" spans="1:14" x14ac:dyDescent="0.2">
      <c r="A168" t="s">
        <v>267</v>
      </c>
      <c r="B168" t="s">
        <v>283</v>
      </c>
      <c r="C168" t="s">
        <v>72</v>
      </c>
      <c r="D168" t="s">
        <v>285</v>
      </c>
      <c r="F168">
        <v>0.5</v>
      </c>
      <c r="H168">
        <v>9</v>
      </c>
      <c r="M168">
        <f t="shared" si="8"/>
        <v>0</v>
      </c>
      <c r="N168">
        <f t="shared" si="9"/>
        <v>9.5</v>
      </c>
    </row>
    <row r="169" spans="1:14" x14ac:dyDescent="0.2">
      <c r="A169" t="s">
        <v>267</v>
      </c>
      <c r="B169" t="s">
        <v>283</v>
      </c>
      <c r="C169" t="s">
        <v>72</v>
      </c>
      <c r="D169" t="s">
        <v>288</v>
      </c>
      <c r="F169">
        <v>0.05</v>
      </c>
      <c r="M169">
        <f t="shared" si="8"/>
        <v>0</v>
      </c>
      <c r="N169">
        <f t="shared" si="9"/>
        <v>0.05</v>
      </c>
    </row>
    <row r="170" spans="1:14" x14ac:dyDescent="0.2">
      <c r="A170" t="s">
        <v>267</v>
      </c>
      <c r="B170" t="s">
        <v>283</v>
      </c>
      <c r="C170" t="s">
        <v>72</v>
      </c>
      <c r="D170" t="s">
        <v>310</v>
      </c>
      <c r="F170">
        <v>0.7</v>
      </c>
      <c r="M170">
        <f t="shared" si="8"/>
        <v>0</v>
      </c>
      <c r="N170">
        <f t="shared" si="9"/>
        <v>0.7</v>
      </c>
    </row>
    <row r="171" spans="1:14" x14ac:dyDescent="0.2">
      <c r="A171" t="s">
        <v>267</v>
      </c>
      <c r="B171" t="s">
        <v>283</v>
      </c>
      <c r="C171" t="s">
        <v>72</v>
      </c>
      <c r="D171" t="s">
        <v>341</v>
      </c>
      <c r="F171">
        <v>0.4</v>
      </c>
      <c r="M171">
        <f t="shared" si="8"/>
        <v>0</v>
      </c>
      <c r="N171">
        <f t="shared" si="9"/>
        <v>0.4</v>
      </c>
    </row>
    <row r="172" spans="1:14" x14ac:dyDescent="0.2">
      <c r="A172" t="s">
        <v>267</v>
      </c>
      <c r="B172" t="s">
        <v>283</v>
      </c>
      <c r="C172" t="s">
        <v>53</v>
      </c>
      <c r="D172" t="s">
        <v>342</v>
      </c>
      <c r="M172">
        <f t="shared" si="8"/>
        <v>0</v>
      </c>
      <c r="N172">
        <f t="shared" si="9"/>
        <v>0</v>
      </c>
    </row>
    <row r="173" spans="1:14" x14ac:dyDescent="0.2">
      <c r="A173" t="s">
        <v>267</v>
      </c>
      <c r="B173" t="s">
        <v>283</v>
      </c>
      <c r="C173" t="s">
        <v>72</v>
      </c>
      <c r="D173" t="s">
        <v>365</v>
      </c>
      <c r="F173">
        <v>0</v>
      </c>
      <c r="M173">
        <f t="shared" si="8"/>
        <v>0</v>
      </c>
      <c r="N173">
        <f t="shared" si="9"/>
        <v>0</v>
      </c>
    </row>
    <row r="174" spans="1:14" x14ac:dyDescent="0.2">
      <c r="A174" t="s">
        <v>267</v>
      </c>
      <c r="B174" t="s">
        <v>283</v>
      </c>
      <c r="C174" t="s">
        <v>72</v>
      </c>
      <c r="D174" t="s">
        <v>366</v>
      </c>
      <c r="F174">
        <v>0.9</v>
      </c>
      <c r="M174">
        <f t="shared" si="8"/>
        <v>0</v>
      </c>
      <c r="N174">
        <f t="shared" si="9"/>
        <v>0.9</v>
      </c>
    </row>
    <row r="175" spans="1:14" x14ac:dyDescent="0.2">
      <c r="A175" t="s">
        <v>267</v>
      </c>
      <c r="B175" t="s">
        <v>283</v>
      </c>
      <c r="C175" t="s">
        <v>72</v>
      </c>
      <c r="D175" t="s">
        <v>367</v>
      </c>
      <c r="F175">
        <v>0.8</v>
      </c>
      <c r="M175">
        <f t="shared" si="8"/>
        <v>0</v>
      </c>
      <c r="N175">
        <f t="shared" si="9"/>
        <v>0.8</v>
      </c>
    </row>
    <row r="176" spans="1:14" x14ac:dyDescent="0.2">
      <c r="A176" t="s">
        <v>267</v>
      </c>
      <c r="B176" t="s">
        <v>283</v>
      </c>
      <c r="C176" t="s">
        <v>72</v>
      </c>
      <c r="D176" t="s">
        <v>368</v>
      </c>
      <c r="F176">
        <v>1.6</v>
      </c>
      <c r="M176">
        <f t="shared" si="8"/>
        <v>0</v>
      </c>
      <c r="N176">
        <f t="shared" si="9"/>
        <v>1.6</v>
      </c>
    </row>
    <row r="177" spans="1:14" x14ac:dyDescent="0.2">
      <c r="A177" t="s">
        <v>267</v>
      </c>
      <c r="B177" t="s">
        <v>283</v>
      </c>
      <c r="C177" t="s">
        <v>53</v>
      </c>
      <c r="D177" t="s">
        <v>372</v>
      </c>
      <c r="M177">
        <f t="shared" si="8"/>
        <v>0</v>
      </c>
      <c r="N177">
        <f t="shared" si="9"/>
        <v>0</v>
      </c>
    </row>
    <row r="178" spans="1:14" x14ac:dyDescent="0.2">
      <c r="A178" t="s">
        <v>267</v>
      </c>
      <c r="B178" t="s">
        <v>283</v>
      </c>
      <c r="C178" t="s">
        <v>72</v>
      </c>
      <c r="D178" t="s">
        <v>375</v>
      </c>
      <c r="J178">
        <v>1</v>
      </c>
      <c r="M178">
        <f t="shared" si="8"/>
        <v>0</v>
      </c>
      <c r="N178">
        <f t="shared" si="9"/>
        <v>1</v>
      </c>
    </row>
    <row r="179" spans="1:14" x14ac:dyDescent="0.2">
      <c r="A179" t="s">
        <v>267</v>
      </c>
      <c r="B179" t="s">
        <v>283</v>
      </c>
      <c r="C179" t="s">
        <v>376</v>
      </c>
      <c r="D179" t="s">
        <v>377</v>
      </c>
      <c r="F179">
        <v>0.3</v>
      </c>
      <c r="M179">
        <f t="shared" si="8"/>
        <v>0</v>
      </c>
      <c r="N179">
        <f t="shared" si="9"/>
        <v>0.3</v>
      </c>
    </row>
    <row r="180" spans="1:14" x14ac:dyDescent="0.2">
      <c r="A180" t="s">
        <v>267</v>
      </c>
      <c r="B180" t="s">
        <v>283</v>
      </c>
      <c r="C180" t="s">
        <v>72</v>
      </c>
      <c r="D180" t="s">
        <v>382</v>
      </c>
      <c r="F180">
        <v>0.1</v>
      </c>
      <c r="M180">
        <f t="shared" si="8"/>
        <v>0</v>
      </c>
      <c r="N180">
        <f t="shared" si="9"/>
        <v>0.1</v>
      </c>
    </row>
    <row r="181" spans="1:14" x14ac:dyDescent="0.2">
      <c r="A181" t="s">
        <v>267</v>
      </c>
      <c r="B181" t="s">
        <v>283</v>
      </c>
      <c r="C181" t="s">
        <v>53</v>
      </c>
      <c r="D181" t="s">
        <v>390</v>
      </c>
      <c r="F181">
        <v>0.5</v>
      </c>
      <c r="M181">
        <f t="shared" si="8"/>
        <v>0</v>
      </c>
      <c r="N181">
        <f t="shared" si="9"/>
        <v>0.5</v>
      </c>
    </row>
    <row r="182" spans="1:14" x14ac:dyDescent="0.2">
      <c r="A182" t="s">
        <v>267</v>
      </c>
      <c r="B182" t="s">
        <v>283</v>
      </c>
      <c r="C182" t="s">
        <v>293</v>
      </c>
      <c r="D182" t="s">
        <v>391</v>
      </c>
      <c r="F182">
        <v>0.5</v>
      </c>
      <c r="H182">
        <v>4</v>
      </c>
      <c r="M182">
        <f t="shared" si="8"/>
        <v>0</v>
      </c>
      <c r="N182">
        <f t="shared" si="9"/>
        <v>4.5</v>
      </c>
    </row>
    <row r="183" spans="1:14" x14ac:dyDescent="0.2">
      <c r="A183" t="s">
        <v>267</v>
      </c>
      <c r="B183" t="s">
        <v>283</v>
      </c>
      <c r="C183" t="s">
        <v>72</v>
      </c>
      <c r="D183" t="s">
        <v>396</v>
      </c>
      <c r="F183">
        <v>0.8</v>
      </c>
      <c r="M183">
        <f t="shared" si="8"/>
        <v>0</v>
      </c>
      <c r="N183">
        <f t="shared" si="9"/>
        <v>0.8</v>
      </c>
    </row>
    <row r="184" spans="1:14" x14ac:dyDescent="0.2">
      <c r="A184" t="s">
        <v>267</v>
      </c>
      <c r="B184" t="s">
        <v>283</v>
      </c>
      <c r="C184" t="s">
        <v>72</v>
      </c>
      <c r="D184" t="s">
        <v>400</v>
      </c>
      <c r="F184">
        <v>0.8</v>
      </c>
      <c r="M184">
        <f t="shared" si="8"/>
        <v>0</v>
      </c>
      <c r="N184">
        <f t="shared" si="9"/>
        <v>0.8</v>
      </c>
    </row>
    <row r="185" spans="1:14" x14ac:dyDescent="0.2">
      <c r="A185" t="s">
        <v>267</v>
      </c>
      <c r="B185" t="s">
        <v>283</v>
      </c>
      <c r="C185" t="s">
        <v>72</v>
      </c>
      <c r="D185" t="s">
        <v>402</v>
      </c>
      <c r="F185">
        <v>0.9</v>
      </c>
      <c r="H185">
        <v>2</v>
      </c>
      <c r="M185">
        <f t="shared" si="8"/>
        <v>0</v>
      </c>
      <c r="N185">
        <f t="shared" si="9"/>
        <v>2.9</v>
      </c>
    </row>
    <row r="186" spans="1:14" x14ac:dyDescent="0.2">
      <c r="A186" t="s">
        <v>267</v>
      </c>
      <c r="B186" t="s">
        <v>283</v>
      </c>
      <c r="C186" t="s">
        <v>72</v>
      </c>
      <c r="D186" t="s">
        <v>403</v>
      </c>
      <c r="F186">
        <v>0.5</v>
      </c>
      <c r="H186">
        <v>2</v>
      </c>
      <c r="M186">
        <f t="shared" si="8"/>
        <v>0</v>
      </c>
      <c r="N186">
        <f t="shared" si="9"/>
        <v>2.5</v>
      </c>
    </row>
    <row r="187" spans="1:14" x14ac:dyDescent="0.2">
      <c r="A187" t="s">
        <v>267</v>
      </c>
      <c r="B187" t="s">
        <v>283</v>
      </c>
      <c r="C187" t="s">
        <v>72</v>
      </c>
      <c r="D187" t="s">
        <v>407</v>
      </c>
      <c r="H187">
        <v>3.4</v>
      </c>
      <c r="M187">
        <f t="shared" ref="M187:M193" si="10">SUM(E187,G187,I187,K187)</f>
        <v>0</v>
      </c>
      <c r="N187">
        <f t="shared" ref="N187:N193" si="11">SUM(F187,H187,J187,L187)</f>
        <v>3.4</v>
      </c>
    </row>
    <row r="188" spans="1:14" x14ac:dyDescent="0.2">
      <c r="A188" t="s">
        <v>267</v>
      </c>
      <c r="B188" t="s">
        <v>283</v>
      </c>
      <c r="C188" t="s">
        <v>53</v>
      </c>
      <c r="D188" t="s">
        <v>408</v>
      </c>
      <c r="M188">
        <f t="shared" si="10"/>
        <v>0</v>
      </c>
      <c r="N188">
        <f t="shared" si="11"/>
        <v>0</v>
      </c>
    </row>
    <row r="189" spans="1:14" x14ac:dyDescent="0.2">
      <c r="A189" t="s">
        <v>267</v>
      </c>
      <c r="B189" t="s">
        <v>283</v>
      </c>
      <c r="C189" t="s">
        <v>53</v>
      </c>
      <c r="D189" t="s">
        <v>409</v>
      </c>
      <c r="M189">
        <f t="shared" si="10"/>
        <v>0</v>
      </c>
      <c r="N189">
        <f t="shared" si="11"/>
        <v>0</v>
      </c>
    </row>
    <row r="190" spans="1:14" x14ac:dyDescent="0.2">
      <c r="A190" t="s">
        <v>267</v>
      </c>
      <c r="B190" t="s">
        <v>283</v>
      </c>
      <c r="C190" t="s">
        <v>369</v>
      </c>
      <c r="D190" t="s">
        <v>410</v>
      </c>
      <c r="H190">
        <v>1</v>
      </c>
      <c r="M190">
        <f t="shared" si="10"/>
        <v>0</v>
      </c>
      <c r="N190">
        <f t="shared" si="11"/>
        <v>1</v>
      </c>
    </row>
    <row r="191" spans="1:14" x14ac:dyDescent="0.2">
      <c r="A191" t="s">
        <v>267</v>
      </c>
      <c r="B191" t="s">
        <v>283</v>
      </c>
      <c r="C191" t="s">
        <v>67</v>
      </c>
      <c r="D191" t="s">
        <v>411</v>
      </c>
      <c r="F191">
        <v>0.8</v>
      </c>
      <c r="M191">
        <f t="shared" si="10"/>
        <v>0</v>
      </c>
      <c r="N191">
        <f t="shared" si="11"/>
        <v>0.8</v>
      </c>
    </row>
    <row r="192" spans="1:14" x14ac:dyDescent="0.2">
      <c r="A192" t="s">
        <v>267</v>
      </c>
      <c r="B192" t="s">
        <v>283</v>
      </c>
      <c r="C192" t="s">
        <v>299</v>
      </c>
      <c r="D192" t="s">
        <v>412</v>
      </c>
      <c r="M192">
        <f t="shared" si="10"/>
        <v>0</v>
      </c>
      <c r="N192">
        <f t="shared" si="11"/>
        <v>0</v>
      </c>
    </row>
    <row r="193" spans="1:14" x14ac:dyDescent="0.2">
      <c r="A193" t="s">
        <v>267</v>
      </c>
      <c r="B193" t="s">
        <v>283</v>
      </c>
      <c r="C193" t="s">
        <v>72</v>
      </c>
      <c r="D193" t="s">
        <v>417</v>
      </c>
      <c r="F193">
        <v>0.3</v>
      </c>
      <c r="M193">
        <f t="shared" si="10"/>
        <v>0</v>
      </c>
      <c r="N193">
        <f t="shared" si="11"/>
        <v>0.3</v>
      </c>
    </row>
    <row r="194" spans="1:14" x14ac:dyDescent="0.2">
      <c r="B194" t="s">
        <v>348</v>
      </c>
      <c r="C194" t="s">
        <v>293</v>
      </c>
      <c r="D194" t="s">
        <v>294</v>
      </c>
      <c r="F194">
        <v>0.9</v>
      </c>
    </row>
    <row r="195" spans="1:14" x14ac:dyDescent="0.2">
      <c r="A195" t="s">
        <v>267</v>
      </c>
      <c r="B195" t="s">
        <v>348</v>
      </c>
      <c r="C195" t="s">
        <v>293</v>
      </c>
      <c r="D195" t="s">
        <v>349</v>
      </c>
      <c r="F195">
        <v>0.5</v>
      </c>
      <c r="J195">
        <v>1</v>
      </c>
      <c r="M195">
        <f t="shared" ref="M195:M242" si="12">SUM(E195,G195,I195,K195)</f>
        <v>0</v>
      </c>
      <c r="N195">
        <f t="shared" ref="N195:N242" si="13">SUM(F195,H195,J195,L195)</f>
        <v>1.5</v>
      </c>
    </row>
    <row r="196" spans="1:14" x14ac:dyDescent="0.2">
      <c r="A196" t="s">
        <v>267</v>
      </c>
      <c r="B196" t="s">
        <v>177</v>
      </c>
      <c r="C196" t="s">
        <v>72</v>
      </c>
      <c r="D196" t="s">
        <v>273</v>
      </c>
      <c r="F196">
        <v>0.7</v>
      </c>
      <c r="J196">
        <v>2</v>
      </c>
      <c r="M196">
        <f t="shared" si="12"/>
        <v>0</v>
      </c>
      <c r="N196">
        <f t="shared" si="13"/>
        <v>2.7</v>
      </c>
    </row>
    <row r="197" spans="1:14" x14ac:dyDescent="0.2">
      <c r="A197" t="s">
        <v>267</v>
      </c>
      <c r="B197" t="s">
        <v>177</v>
      </c>
      <c r="C197" t="s">
        <v>53</v>
      </c>
      <c r="D197" t="s">
        <v>277</v>
      </c>
      <c r="F197">
        <v>1.4</v>
      </c>
      <c r="J197">
        <v>10</v>
      </c>
      <c r="M197">
        <f t="shared" si="12"/>
        <v>0</v>
      </c>
      <c r="N197">
        <f t="shared" si="13"/>
        <v>11.4</v>
      </c>
    </row>
    <row r="198" spans="1:14" x14ac:dyDescent="0.2">
      <c r="A198" t="s">
        <v>267</v>
      </c>
      <c r="B198" t="s">
        <v>177</v>
      </c>
      <c r="C198" t="s">
        <v>72</v>
      </c>
      <c r="D198" t="s">
        <v>280</v>
      </c>
      <c r="J198">
        <v>1</v>
      </c>
      <c r="M198">
        <f t="shared" si="12"/>
        <v>0</v>
      </c>
      <c r="N198">
        <f t="shared" si="13"/>
        <v>1</v>
      </c>
    </row>
    <row r="199" spans="1:14" x14ac:dyDescent="0.2">
      <c r="A199" t="s">
        <v>267</v>
      </c>
      <c r="B199" t="s">
        <v>177</v>
      </c>
      <c r="C199" t="s">
        <v>72</v>
      </c>
      <c r="D199" t="s">
        <v>286</v>
      </c>
      <c r="F199">
        <v>1.7</v>
      </c>
      <c r="J199">
        <v>1</v>
      </c>
      <c r="M199">
        <f t="shared" si="12"/>
        <v>0</v>
      </c>
      <c r="N199">
        <f t="shared" si="13"/>
        <v>2.7</v>
      </c>
    </row>
    <row r="200" spans="1:14" x14ac:dyDescent="0.2">
      <c r="A200" t="s">
        <v>267</v>
      </c>
      <c r="B200" t="s">
        <v>177</v>
      </c>
      <c r="C200" t="s">
        <v>53</v>
      </c>
      <c r="D200" t="s">
        <v>295</v>
      </c>
      <c r="F200">
        <v>1.5</v>
      </c>
      <c r="J200">
        <v>4</v>
      </c>
      <c r="M200">
        <f t="shared" si="12"/>
        <v>0</v>
      </c>
      <c r="N200">
        <f t="shared" si="13"/>
        <v>5.5</v>
      </c>
    </row>
    <row r="201" spans="1:14" x14ac:dyDescent="0.2">
      <c r="A201" t="s">
        <v>267</v>
      </c>
      <c r="B201" t="s">
        <v>177</v>
      </c>
      <c r="C201" t="s">
        <v>303</v>
      </c>
      <c r="D201" t="s">
        <v>304</v>
      </c>
      <c r="F201">
        <v>0.3</v>
      </c>
      <c r="M201">
        <f t="shared" si="12"/>
        <v>0</v>
      </c>
      <c r="N201">
        <f t="shared" si="13"/>
        <v>0.3</v>
      </c>
    </row>
    <row r="202" spans="1:14" x14ac:dyDescent="0.2">
      <c r="A202" t="s">
        <v>267</v>
      </c>
      <c r="B202" t="s">
        <v>177</v>
      </c>
      <c r="C202" t="s">
        <v>72</v>
      </c>
      <c r="D202" t="s">
        <v>305</v>
      </c>
      <c r="J202">
        <v>1.3</v>
      </c>
      <c r="M202">
        <f t="shared" si="12"/>
        <v>0</v>
      </c>
      <c r="N202">
        <f t="shared" si="13"/>
        <v>1.3</v>
      </c>
    </row>
    <row r="203" spans="1:14" x14ac:dyDescent="0.2">
      <c r="A203" t="s">
        <v>267</v>
      </c>
      <c r="B203" t="s">
        <v>177</v>
      </c>
      <c r="C203" t="s">
        <v>72</v>
      </c>
      <c r="D203" t="s">
        <v>309</v>
      </c>
      <c r="F203">
        <v>0.5</v>
      </c>
      <c r="J203">
        <v>5</v>
      </c>
      <c r="M203">
        <f t="shared" si="12"/>
        <v>0</v>
      </c>
      <c r="N203">
        <f t="shared" si="13"/>
        <v>5.5</v>
      </c>
    </row>
    <row r="204" spans="1:14" x14ac:dyDescent="0.2">
      <c r="A204" t="s">
        <v>267</v>
      </c>
      <c r="B204" t="s">
        <v>177</v>
      </c>
      <c r="C204" t="s">
        <v>53</v>
      </c>
      <c r="D204" t="s">
        <v>316</v>
      </c>
      <c r="F204">
        <v>1.5</v>
      </c>
      <c r="J204">
        <v>2</v>
      </c>
      <c r="M204">
        <f t="shared" si="12"/>
        <v>0</v>
      </c>
      <c r="N204">
        <f t="shared" si="13"/>
        <v>3.5</v>
      </c>
    </row>
    <row r="205" spans="1:14" x14ac:dyDescent="0.2">
      <c r="A205" t="s">
        <v>267</v>
      </c>
      <c r="B205" t="s">
        <v>177</v>
      </c>
      <c r="C205" t="s">
        <v>271</v>
      </c>
      <c r="D205" t="s">
        <v>324</v>
      </c>
      <c r="F205">
        <v>1</v>
      </c>
      <c r="J205">
        <v>3</v>
      </c>
      <c r="M205">
        <f t="shared" si="12"/>
        <v>0</v>
      </c>
      <c r="N205">
        <f t="shared" si="13"/>
        <v>4</v>
      </c>
    </row>
    <row r="206" spans="1:14" x14ac:dyDescent="0.2">
      <c r="A206" t="s">
        <v>267</v>
      </c>
      <c r="B206" t="s">
        <v>177</v>
      </c>
      <c r="C206" t="s">
        <v>271</v>
      </c>
      <c r="D206" t="s">
        <v>325</v>
      </c>
      <c r="F206">
        <v>1.2</v>
      </c>
      <c r="J206">
        <v>5</v>
      </c>
      <c r="M206">
        <f t="shared" si="12"/>
        <v>0</v>
      </c>
      <c r="N206">
        <f t="shared" si="13"/>
        <v>6.2</v>
      </c>
    </row>
    <row r="207" spans="1:14" x14ac:dyDescent="0.2">
      <c r="A207" t="s">
        <v>267</v>
      </c>
      <c r="B207" t="s">
        <v>177</v>
      </c>
      <c r="C207" t="s">
        <v>53</v>
      </c>
      <c r="D207" t="s">
        <v>326</v>
      </c>
      <c r="F207">
        <v>0.3</v>
      </c>
      <c r="J207">
        <v>1</v>
      </c>
      <c r="M207">
        <f t="shared" si="12"/>
        <v>0</v>
      </c>
      <c r="N207">
        <f t="shared" si="13"/>
        <v>1.3</v>
      </c>
    </row>
    <row r="208" spans="1:14" x14ac:dyDescent="0.2">
      <c r="A208" t="s">
        <v>267</v>
      </c>
      <c r="B208" t="s">
        <v>177</v>
      </c>
      <c r="C208" t="s">
        <v>53</v>
      </c>
      <c r="D208" t="s">
        <v>333</v>
      </c>
      <c r="J208">
        <v>2</v>
      </c>
      <c r="M208">
        <f t="shared" si="12"/>
        <v>0</v>
      </c>
      <c r="N208">
        <f t="shared" si="13"/>
        <v>2</v>
      </c>
    </row>
    <row r="209" spans="1:14" x14ac:dyDescent="0.2">
      <c r="A209" t="s">
        <v>267</v>
      </c>
      <c r="B209" t="s">
        <v>177</v>
      </c>
      <c r="C209" t="s">
        <v>53</v>
      </c>
      <c r="D209" t="s">
        <v>345</v>
      </c>
      <c r="F209">
        <v>2.4</v>
      </c>
      <c r="J209">
        <v>6</v>
      </c>
      <c r="M209">
        <f t="shared" si="12"/>
        <v>0</v>
      </c>
      <c r="N209">
        <f t="shared" si="13"/>
        <v>8.4</v>
      </c>
    </row>
    <row r="210" spans="1:14" x14ac:dyDescent="0.2">
      <c r="A210" t="s">
        <v>267</v>
      </c>
      <c r="B210" t="s">
        <v>177</v>
      </c>
      <c r="C210" t="s">
        <v>72</v>
      </c>
      <c r="D210" t="s">
        <v>347</v>
      </c>
      <c r="F210">
        <v>1.8</v>
      </c>
      <c r="J210">
        <v>8</v>
      </c>
      <c r="M210">
        <f t="shared" si="12"/>
        <v>0</v>
      </c>
      <c r="N210">
        <f t="shared" si="13"/>
        <v>9.8000000000000007</v>
      </c>
    </row>
    <row r="211" spans="1:14" x14ac:dyDescent="0.2">
      <c r="A211" t="s">
        <v>267</v>
      </c>
      <c r="B211" t="s">
        <v>177</v>
      </c>
      <c r="C211" t="s">
        <v>72</v>
      </c>
      <c r="D211" t="s">
        <v>354</v>
      </c>
      <c r="F211">
        <v>1.2</v>
      </c>
      <c r="M211">
        <f t="shared" si="12"/>
        <v>0</v>
      </c>
      <c r="N211">
        <f t="shared" si="13"/>
        <v>1.2</v>
      </c>
    </row>
    <row r="212" spans="1:14" x14ac:dyDescent="0.2">
      <c r="A212" t="s">
        <v>267</v>
      </c>
      <c r="B212" t="s">
        <v>177</v>
      </c>
      <c r="C212" t="s">
        <v>271</v>
      </c>
      <c r="D212" t="s">
        <v>363</v>
      </c>
      <c r="J212">
        <v>3</v>
      </c>
      <c r="M212">
        <f t="shared" si="12"/>
        <v>0</v>
      </c>
      <c r="N212">
        <f t="shared" si="13"/>
        <v>3</v>
      </c>
    </row>
    <row r="213" spans="1:14" x14ac:dyDescent="0.2">
      <c r="A213" t="s">
        <v>267</v>
      </c>
      <c r="B213" t="s">
        <v>177</v>
      </c>
      <c r="C213" t="s">
        <v>369</v>
      </c>
      <c r="D213" t="s">
        <v>370</v>
      </c>
      <c r="J213">
        <v>3.5</v>
      </c>
      <c r="M213">
        <f t="shared" si="12"/>
        <v>0</v>
      </c>
      <c r="N213">
        <f t="shared" si="13"/>
        <v>3.5</v>
      </c>
    </row>
    <row r="214" spans="1:14" x14ac:dyDescent="0.2">
      <c r="A214" t="s">
        <v>267</v>
      </c>
      <c r="B214" t="s">
        <v>177</v>
      </c>
      <c r="C214" t="s">
        <v>72</v>
      </c>
      <c r="D214" t="s">
        <v>381</v>
      </c>
      <c r="F214">
        <v>2.5</v>
      </c>
      <c r="J214">
        <v>4</v>
      </c>
      <c r="M214">
        <f t="shared" si="12"/>
        <v>0</v>
      </c>
      <c r="N214">
        <f t="shared" si="13"/>
        <v>6.5</v>
      </c>
    </row>
    <row r="215" spans="1:14" x14ac:dyDescent="0.2">
      <c r="A215" t="s">
        <v>267</v>
      </c>
      <c r="B215" t="s">
        <v>177</v>
      </c>
      <c r="C215" t="s">
        <v>72</v>
      </c>
      <c r="D215" t="s">
        <v>385</v>
      </c>
      <c r="F215">
        <v>0.9</v>
      </c>
      <c r="J215">
        <v>6</v>
      </c>
      <c r="M215">
        <f t="shared" si="12"/>
        <v>0</v>
      </c>
      <c r="N215">
        <f t="shared" si="13"/>
        <v>6.9</v>
      </c>
    </row>
    <row r="216" spans="1:14" x14ac:dyDescent="0.2">
      <c r="A216" t="s">
        <v>267</v>
      </c>
      <c r="B216" t="s">
        <v>177</v>
      </c>
      <c r="C216" t="s">
        <v>53</v>
      </c>
      <c r="D216" t="s">
        <v>389</v>
      </c>
      <c r="F216">
        <v>0.3</v>
      </c>
      <c r="J216">
        <v>2</v>
      </c>
      <c r="M216">
        <f t="shared" si="12"/>
        <v>0</v>
      </c>
      <c r="N216">
        <f t="shared" si="13"/>
        <v>2.2999999999999998</v>
      </c>
    </row>
    <row r="217" spans="1:14" x14ac:dyDescent="0.2">
      <c r="A217" t="s">
        <v>267</v>
      </c>
      <c r="B217" t="s">
        <v>177</v>
      </c>
      <c r="C217" t="s">
        <v>72</v>
      </c>
      <c r="D217" t="s">
        <v>397</v>
      </c>
      <c r="M217">
        <f t="shared" si="12"/>
        <v>0</v>
      </c>
      <c r="N217">
        <f t="shared" si="13"/>
        <v>0</v>
      </c>
    </row>
    <row r="218" spans="1:14" x14ac:dyDescent="0.2">
      <c r="A218" t="s">
        <v>267</v>
      </c>
      <c r="B218" t="s">
        <v>177</v>
      </c>
      <c r="C218" t="s">
        <v>53</v>
      </c>
      <c r="D218" t="s">
        <v>405</v>
      </c>
      <c r="J218">
        <v>3</v>
      </c>
      <c r="M218">
        <f t="shared" si="12"/>
        <v>0</v>
      </c>
      <c r="N218">
        <f t="shared" si="13"/>
        <v>3</v>
      </c>
    </row>
    <row r="219" spans="1:14" x14ac:dyDescent="0.2">
      <c r="A219" t="s">
        <v>267</v>
      </c>
      <c r="B219" t="s">
        <v>373</v>
      </c>
      <c r="C219" t="s">
        <v>359</v>
      </c>
      <c r="D219" t="s">
        <v>374</v>
      </c>
      <c r="F219">
        <v>2.6</v>
      </c>
      <c r="M219">
        <f t="shared" si="12"/>
        <v>0</v>
      </c>
      <c r="N219">
        <f t="shared" si="13"/>
        <v>2.6</v>
      </c>
    </row>
    <row r="220" spans="1:14" x14ac:dyDescent="0.2">
      <c r="A220" t="s">
        <v>267</v>
      </c>
      <c r="B220" t="s">
        <v>373</v>
      </c>
      <c r="C220" t="s">
        <v>359</v>
      </c>
      <c r="D220" t="s">
        <v>393</v>
      </c>
      <c r="M220">
        <f t="shared" si="12"/>
        <v>0</v>
      </c>
      <c r="N220">
        <f t="shared" si="13"/>
        <v>0</v>
      </c>
    </row>
    <row r="221" spans="1:14" x14ac:dyDescent="0.2">
      <c r="A221" t="s">
        <v>267</v>
      </c>
      <c r="B221" t="s">
        <v>296</v>
      </c>
      <c r="C221" t="s">
        <v>53</v>
      </c>
      <c r="D221" t="s">
        <v>297</v>
      </c>
      <c r="M221">
        <f t="shared" si="12"/>
        <v>0</v>
      </c>
      <c r="N221">
        <f t="shared" si="13"/>
        <v>0</v>
      </c>
    </row>
    <row r="222" spans="1:14" x14ac:dyDescent="0.2">
      <c r="A222" t="s">
        <v>267</v>
      </c>
      <c r="B222" t="s">
        <v>296</v>
      </c>
      <c r="C222" t="s">
        <v>72</v>
      </c>
      <c r="D222" t="s">
        <v>323</v>
      </c>
      <c r="F222">
        <v>0.5</v>
      </c>
      <c r="M222">
        <f t="shared" si="12"/>
        <v>0</v>
      </c>
      <c r="N222">
        <f t="shared" si="13"/>
        <v>0.5</v>
      </c>
    </row>
    <row r="223" spans="1:14" x14ac:dyDescent="0.2">
      <c r="A223" t="s">
        <v>267</v>
      </c>
      <c r="B223" t="s">
        <v>296</v>
      </c>
      <c r="C223" t="s">
        <v>331</v>
      </c>
      <c r="D223" t="s">
        <v>332</v>
      </c>
      <c r="F223">
        <v>0.1</v>
      </c>
      <c r="J223">
        <v>1</v>
      </c>
      <c r="M223">
        <f t="shared" si="12"/>
        <v>0</v>
      </c>
      <c r="N223">
        <f t="shared" si="13"/>
        <v>1.1000000000000001</v>
      </c>
    </row>
    <row r="224" spans="1:14" x14ac:dyDescent="0.2">
      <c r="A224" t="s">
        <v>267</v>
      </c>
      <c r="B224" t="s">
        <v>296</v>
      </c>
      <c r="C224" t="s">
        <v>72</v>
      </c>
      <c r="D224" t="s">
        <v>338</v>
      </c>
      <c r="F224">
        <v>0.1</v>
      </c>
      <c r="J224">
        <v>2</v>
      </c>
      <c r="M224">
        <f t="shared" si="12"/>
        <v>0</v>
      </c>
      <c r="N224">
        <f t="shared" si="13"/>
        <v>2.1</v>
      </c>
    </row>
    <row r="225" spans="1:14" x14ac:dyDescent="0.2">
      <c r="A225" t="s">
        <v>267</v>
      </c>
      <c r="B225" t="s">
        <v>296</v>
      </c>
      <c r="C225" t="s">
        <v>72</v>
      </c>
      <c r="D225" t="s">
        <v>339</v>
      </c>
      <c r="F225">
        <v>0.8</v>
      </c>
      <c r="M225">
        <f t="shared" si="12"/>
        <v>0</v>
      </c>
      <c r="N225">
        <f t="shared" si="13"/>
        <v>0.8</v>
      </c>
    </row>
    <row r="226" spans="1:14" x14ac:dyDescent="0.2">
      <c r="A226" t="s">
        <v>267</v>
      </c>
      <c r="B226" t="s">
        <v>296</v>
      </c>
      <c r="C226" t="s">
        <v>72</v>
      </c>
      <c r="D226" t="s">
        <v>340</v>
      </c>
      <c r="F226">
        <v>1</v>
      </c>
      <c r="J226">
        <v>4</v>
      </c>
      <c r="M226">
        <f t="shared" si="12"/>
        <v>0</v>
      </c>
      <c r="N226">
        <f t="shared" si="13"/>
        <v>5</v>
      </c>
    </row>
    <row r="227" spans="1:14" x14ac:dyDescent="0.2">
      <c r="A227" t="s">
        <v>267</v>
      </c>
      <c r="B227" t="s">
        <v>296</v>
      </c>
      <c r="C227" t="s">
        <v>72</v>
      </c>
      <c r="D227" t="s">
        <v>356</v>
      </c>
      <c r="F227">
        <v>1</v>
      </c>
      <c r="M227">
        <f t="shared" si="12"/>
        <v>0</v>
      </c>
      <c r="N227">
        <f t="shared" si="13"/>
        <v>1</v>
      </c>
    </row>
    <row r="228" spans="1:14" x14ac:dyDescent="0.2">
      <c r="A228" t="s">
        <v>267</v>
      </c>
      <c r="B228" t="s">
        <v>296</v>
      </c>
      <c r="C228" t="s">
        <v>72</v>
      </c>
      <c r="D228" t="s">
        <v>394</v>
      </c>
      <c r="F228">
        <v>0.6</v>
      </c>
      <c r="J228">
        <v>2</v>
      </c>
      <c r="M228">
        <f t="shared" si="12"/>
        <v>0</v>
      </c>
      <c r="N228">
        <f t="shared" si="13"/>
        <v>2.6</v>
      </c>
    </row>
    <row r="229" spans="1:14" x14ac:dyDescent="0.2">
      <c r="A229" t="s">
        <v>267</v>
      </c>
      <c r="B229" t="s">
        <v>296</v>
      </c>
      <c r="C229" t="s">
        <v>53</v>
      </c>
      <c r="D229" t="s">
        <v>395</v>
      </c>
      <c r="F229">
        <v>0.3</v>
      </c>
      <c r="M229">
        <f t="shared" si="12"/>
        <v>0</v>
      </c>
      <c r="N229">
        <f t="shared" si="13"/>
        <v>0.3</v>
      </c>
    </row>
    <row r="230" spans="1:14" x14ac:dyDescent="0.2">
      <c r="A230" t="s">
        <v>267</v>
      </c>
      <c r="B230" t="s">
        <v>296</v>
      </c>
      <c r="C230" t="s">
        <v>72</v>
      </c>
      <c r="D230" t="s">
        <v>398</v>
      </c>
      <c r="F230">
        <v>0.7</v>
      </c>
      <c r="M230">
        <f t="shared" si="12"/>
        <v>0</v>
      </c>
      <c r="N230">
        <f t="shared" si="13"/>
        <v>0.7</v>
      </c>
    </row>
    <row r="231" spans="1:14" x14ac:dyDescent="0.2">
      <c r="A231" t="s">
        <v>267</v>
      </c>
      <c r="B231" t="s">
        <v>270</v>
      </c>
      <c r="C231" t="s">
        <v>271</v>
      </c>
      <c r="D231" t="s">
        <v>272</v>
      </c>
      <c r="J231">
        <v>1</v>
      </c>
      <c r="M231">
        <f t="shared" si="12"/>
        <v>0</v>
      </c>
      <c r="N231">
        <f t="shared" si="13"/>
        <v>1</v>
      </c>
    </row>
    <row r="232" spans="1:14" x14ac:dyDescent="0.2">
      <c r="A232" t="s">
        <v>267</v>
      </c>
      <c r="B232" t="s">
        <v>361</v>
      </c>
      <c r="C232" t="s">
        <v>53</v>
      </c>
      <c r="D232" t="s">
        <v>362</v>
      </c>
      <c r="F232">
        <v>0.3</v>
      </c>
      <c r="J232">
        <v>6</v>
      </c>
      <c r="M232">
        <f t="shared" si="12"/>
        <v>0</v>
      </c>
      <c r="N232">
        <f t="shared" si="13"/>
        <v>6.3</v>
      </c>
    </row>
    <row r="233" spans="1:14" x14ac:dyDescent="0.2">
      <c r="A233" t="s">
        <v>267</v>
      </c>
      <c r="B233" t="s">
        <v>298</v>
      </c>
      <c r="C233" t="s">
        <v>299</v>
      </c>
      <c r="D233" t="s">
        <v>300</v>
      </c>
      <c r="J233">
        <v>0.2</v>
      </c>
      <c r="M233">
        <f t="shared" si="12"/>
        <v>0</v>
      </c>
      <c r="N233">
        <f t="shared" si="13"/>
        <v>0.2</v>
      </c>
    </row>
    <row r="234" spans="1:14" x14ac:dyDescent="0.2">
      <c r="A234" t="s">
        <v>267</v>
      </c>
      <c r="B234" t="s">
        <v>298</v>
      </c>
      <c r="C234" t="s">
        <v>72</v>
      </c>
      <c r="D234" t="s">
        <v>306</v>
      </c>
      <c r="M234">
        <f t="shared" si="12"/>
        <v>0</v>
      </c>
      <c r="N234">
        <f t="shared" si="13"/>
        <v>0</v>
      </c>
    </row>
    <row r="235" spans="1:14" x14ac:dyDescent="0.2">
      <c r="A235" t="s">
        <v>267</v>
      </c>
      <c r="B235" t="s">
        <v>298</v>
      </c>
      <c r="C235" t="s">
        <v>72</v>
      </c>
      <c r="D235" t="s">
        <v>308</v>
      </c>
      <c r="M235">
        <f t="shared" si="12"/>
        <v>0</v>
      </c>
      <c r="N235">
        <f t="shared" si="13"/>
        <v>0</v>
      </c>
    </row>
    <row r="236" spans="1:14" x14ac:dyDescent="0.2">
      <c r="A236" t="s">
        <v>267</v>
      </c>
      <c r="B236" t="s">
        <v>298</v>
      </c>
      <c r="C236" t="s">
        <v>72</v>
      </c>
      <c r="D236" t="s">
        <v>307</v>
      </c>
      <c r="M236">
        <f t="shared" si="12"/>
        <v>0</v>
      </c>
      <c r="N236">
        <f t="shared" si="13"/>
        <v>0</v>
      </c>
    </row>
    <row r="237" spans="1:14" x14ac:dyDescent="0.2">
      <c r="A237" t="s">
        <v>267</v>
      </c>
      <c r="B237" t="s">
        <v>298</v>
      </c>
      <c r="C237" t="s">
        <v>72</v>
      </c>
      <c r="D237" t="s">
        <v>320</v>
      </c>
      <c r="F237">
        <v>1</v>
      </c>
      <c r="M237">
        <f t="shared" si="12"/>
        <v>0</v>
      </c>
      <c r="N237">
        <f t="shared" si="13"/>
        <v>1</v>
      </c>
    </row>
    <row r="238" spans="1:14" x14ac:dyDescent="0.2">
      <c r="A238" t="s">
        <v>267</v>
      </c>
      <c r="B238" t="s">
        <v>298</v>
      </c>
      <c r="C238" t="s">
        <v>72</v>
      </c>
      <c r="D238" t="s">
        <v>321</v>
      </c>
      <c r="F238">
        <v>1</v>
      </c>
      <c r="M238">
        <f t="shared" si="12"/>
        <v>0</v>
      </c>
      <c r="N238">
        <f t="shared" si="13"/>
        <v>1</v>
      </c>
    </row>
    <row r="239" spans="1:14" x14ac:dyDescent="0.2">
      <c r="A239" t="s">
        <v>267</v>
      </c>
      <c r="B239" t="s">
        <v>298</v>
      </c>
      <c r="C239" t="s">
        <v>72</v>
      </c>
      <c r="D239" t="s">
        <v>322</v>
      </c>
      <c r="F239">
        <v>1</v>
      </c>
      <c r="M239">
        <f t="shared" si="12"/>
        <v>0</v>
      </c>
      <c r="N239">
        <f t="shared" si="13"/>
        <v>1</v>
      </c>
    </row>
    <row r="240" spans="1:14" x14ac:dyDescent="0.2">
      <c r="A240" t="s">
        <v>267</v>
      </c>
      <c r="B240" t="s">
        <v>298</v>
      </c>
      <c r="C240" t="s">
        <v>72</v>
      </c>
      <c r="D240" t="s">
        <v>383</v>
      </c>
      <c r="F240">
        <v>1.5</v>
      </c>
      <c r="M240">
        <f t="shared" si="12"/>
        <v>0</v>
      </c>
      <c r="N240">
        <f t="shared" si="13"/>
        <v>1.5</v>
      </c>
    </row>
    <row r="241" spans="1:14" x14ac:dyDescent="0.2">
      <c r="A241" t="s">
        <v>267</v>
      </c>
      <c r="B241" t="s">
        <v>298</v>
      </c>
      <c r="C241" t="s">
        <v>72</v>
      </c>
      <c r="D241" t="s">
        <v>384</v>
      </c>
      <c r="F241">
        <v>0.8</v>
      </c>
      <c r="M241">
        <f t="shared" si="12"/>
        <v>0</v>
      </c>
      <c r="N241">
        <f t="shared" si="13"/>
        <v>0.8</v>
      </c>
    </row>
    <row r="242" spans="1:14" x14ac:dyDescent="0.2">
      <c r="A242" t="s">
        <v>267</v>
      </c>
      <c r="B242" t="s">
        <v>298</v>
      </c>
      <c r="C242" t="s">
        <v>72</v>
      </c>
      <c r="D242" t="s">
        <v>386</v>
      </c>
      <c r="F242">
        <v>0.5</v>
      </c>
      <c r="M242">
        <f t="shared" si="12"/>
        <v>0</v>
      </c>
      <c r="N242">
        <f t="shared" si="13"/>
        <v>0.5</v>
      </c>
    </row>
    <row r="243" spans="1:14" x14ac:dyDescent="0.2">
      <c r="A243" t="s">
        <v>267</v>
      </c>
      <c r="B243" t="s">
        <v>298</v>
      </c>
      <c r="C243" t="s">
        <v>72</v>
      </c>
      <c r="D243" t="s">
        <v>387</v>
      </c>
      <c r="F243">
        <v>1</v>
      </c>
      <c r="M243">
        <v>0</v>
      </c>
      <c r="N243">
        <f>SUM(F243,H243,J243,L243)</f>
        <v>1</v>
      </c>
    </row>
    <row r="244" spans="1:14" x14ac:dyDescent="0.2">
      <c r="A244" t="s">
        <v>267</v>
      </c>
      <c r="B244" t="s">
        <v>298</v>
      </c>
      <c r="C244" t="s">
        <v>72</v>
      </c>
      <c r="D244" t="s">
        <v>388</v>
      </c>
      <c r="M244">
        <f>SUM(E244,G244,I244,K244)</f>
        <v>0</v>
      </c>
      <c r="N244">
        <f>SUM(F244,H244,J244,L244)</f>
        <v>0</v>
      </c>
    </row>
    <row r="245" spans="1:14" x14ac:dyDescent="0.2">
      <c r="A245" t="s">
        <v>267</v>
      </c>
      <c r="B245" t="s">
        <v>298</v>
      </c>
      <c r="C245" t="s">
        <v>413</v>
      </c>
      <c r="D245" t="s">
        <v>414</v>
      </c>
    </row>
    <row r="246" spans="1:14" x14ac:dyDescent="0.2">
      <c r="A246" t="s">
        <v>267</v>
      </c>
      <c r="B246" t="s">
        <v>298</v>
      </c>
      <c r="C246" t="s">
        <v>72</v>
      </c>
      <c r="D246" t="s">
        <v>416</v>
      </c>
      <c r="F246">
        <v>1</v>
      </c>
      <c r="J246">
        <v>1</v>
      </c>
      <c r="M246">
        <f t="shared" ref="M246:M277" si="14">SUM(E246,G246,I246,K246)</f>
        <v>0</v>
      </c>
      <c r="N246">
        <f t="shared" ref="N246:N277" si="15">SUM(F246,H246,J246,L246)</f>
        <v>2</v>
      </c>
    </row>
    <row r="247" spans="1:14" x14ac:dyDescent="0.2">
      <c r="A247" t="s">
        <v>267</v>
      </c>
      <c r="B247" t="s">
        <v>268</v>
      </c>
      <c r="C247" t="s">
        <v>72</v>
      </c>
      <c r="D247" t="s">
        <v>269</v>
      </c>
      <c r="F247">
        <v>0.4</v>
      </c>
      <c r="J247">
        <v>7</v>
      </c>
      <c r="M247">
        <f t="shared" si="14"/>
        <v>0</v>
      </c>
      <c r="N247">
        <f t="shared" si="15"/>
        <v>7.4</v>
      </c>
    </row>
    <row r="248" spans="1:14" x14ac:dyDescent="0.2">
      <c r="A248" t="s">
        <v>267</v>
      </c>
      <c r="B248" t="s">
        <v>268</v>
      </c>
      <c r="C248" t="s">
        <v>72</v>
      </c>
      <c r="D248" t="s">
        <v>281</v>
      </c>
      <c r="F248">
        <v>1</v>
      </c>
      <c r="M248">
        <f t="shared" si="14"/>
        <v>0</v>
      </c>
      <c r="N248">
        <f t="shared" si="15"/>
        <v>1</v>
      </c>
    </row>
    <row r="249" spans="1:14" x14ac:dyDescent="0.2">
      <c r="A249" t="s">
        <v>267</v>
      </c>
      <c r="B249" t="s">
        <v>268</v>
      </c>
      <c r="C249" t="s">
        <v>72</v>
      </c>
      <c r="D249" t="s">
        <v>287</v>
      </c>
      <c r="F249">
        <v>0.8</v>
      </c>
      <c r="M249">
        <f t="shared" si="14"/>
        <v>0</v>
      </c>
      <c r="N249">
        <f t="shared" si="15"/>
        <v>0.8</v>
      </c>
    </row>
    <row r="250" spans="1:14" x14ac:dyDescent="0.2">
      <c r="A250" t="s">
        <v>267</v>
      </c>
      <c r="B250" t="s">
        <v>268</v>
      </c>
      <c r="C250" t="s">
        <v>72</v>
      </c>
      <c r="D250" t="s">
        <v>313</v>
      </c>
      <c r="F250">
        <v>1</v>
      </c>
      <c r="M250">
        <f t="shared" si="14"/>
        <v>0</v>
      </c>
      <c r="N250">
        <f t="shared" si="15"/>
        <v>1</v>
      </c>
    </row>
    <row r="251" spans="1:14" x14ac:dyDescent="0.2">
      <c r="A251" t="s">
        <v>267</v>
      </c>
      <c r="B251" t="s">
        <v>268</v>
      </c>
      <c r="C251" t="s">
        <v>72</v>
      </c>
      <c r="D251" t="s">
        <v>419</v>
      </c>
      <c r="J251">
        <v>1</v>
      </c>
      <c r="M251">
        <f t="shared" si="14"/>
        <v>0</v>
      </c>
      <c r="N251">
        <f t="shared" si="15"/>
        <v>1</v>
      </c>
    </row>
    <row r="252" spans="1:14" x14ac:dyDescent="0.2">
      <c r="A252" t="s">
        <v>267</v>
      </c>
      <c r="B252" t="s">
        <v>268</v>
      </c>
      <c r="C252" t="s">
        <v>72</v>
      </c>
      <c r="D252" t="s">
        <v>315</v>
      </c>
      <c r="F252">
        <v>0.1</v>
      </c>
      <c r="J252">
        <v>2</v>
      </c>
      <c r="M252">
        <f t="shared" si="14"/>
        <v>0</v>
      </c>
      <c r="N252">
        <f t="shared" si="15"/>
        <v>2.1</v>
      </c>
    </row>
    <row r="253" spans="1:14" x14ac:dyDescent="0.2">
      <c r="A253" t="s">
        <v>267</v>
      </c>
      <c r="B253" t="s">
        <v>268</v>
      </c>
      <c r="C253" t="s">
        <v>72</v>
      </c>
      <c r="D253" t="s">
        <v>334</v>
      </c>
      <c r="F253">
        <v>0.6</v>
      </c>
      <c r="M253">
        <f t="shared" si="14"/>
        <v>0</v>
      </c>
      <c r="N253">
        <f t="shared" si="15"/>
        <v>0.6</v>
      </c>
    </row>
    <row r="254" spans="1:14" x14ac:dyDescent="0.2">
      <c r="A254" t="s">
        <v>267</v>
      </c>
      <c r="B254" t="s">
        <v>268</v>
      </c>
      <c r="C254" t="s">
        <v>72</v>
      </c>
      <c r="D254" t="s">
        <v>415</v>
      </c>
      <c r="J254">
        <v>1</v>
      </c>
      <c r="M254">
        <f t="shared" si="14"/>
        <v>0</v>
      </c>
      <c r="N254">
        <f t="shared" si="15"/>
        <v>1</v>
      </c>
    </row>
    <row r="255" spans="1:14" x14ac:dyDescent="0.2">
      <c r="A255" t="s">
        <v>267</v>
      </c>
      <c r="B255" t="s">
        <v>268</v>
      </c>
      <c r="C255" t="s">
        <v>72</v>
      </c>
      <c r="D255" t="s">
        <v>353</v>
      </c>
      <c r="M255">
        <f t="shared" si="14"/>
        <v>0</v>
      </c>
      <c r="N255">
        <f t="shared" si="15"/>
        <v>0</v>
      </c>
    </row>
    <row r="256" spans="1:14" x14ac:dyDescent="0.2">
      <c r="A256" t="s">
        <v>267</v>
      </c>
      <c r="B256" t="s">
        <v>268</v>
      </c>
      <c r="C256" t="s">
        <v>72</v>
      </c>
      <c r="D256" t="s">
        <v>404</v>
      </c>
      <c r="M256">
        <f t="shared" si="14"/>
        <v>0</v>
      </c>
      <c r="N256">
        <f t="shared" si="15"/>
        <v>0</v>
      </c>
    </row>
    <row r="257" spans="1:14" x14ac:dyDescent="0.2">
      <c r="A257" t="s">
        <v>267</v>
      </c>
      <c r="B257" t="s">
        <v>278</v>
      </c>
      <c r="C257" t="s">
        <v>72</v>
      </c>
      <c r="D257" t="s">
        <v>279</v>
      </c>
      <c r="F257">
        <v>0.5</v>
      </c>
      <c r="M257">
        <f t="shared" si="14"/>
        <v>0</v>
      </c>
      <c r="N257">
        <f t="shared" si="15"/>
        <v>0.5</v>
      </c>
    </row>
    <row r="258" spans="1:14" x14ac:dyDescent="0.2">
      <c r="A258" t="s">
        <v>267</v>
      </c>
      <c r="B258" t="s">
        <v>278</v>
      </c>
      <c r="C258" t="s">
        <v>53</v>
      </c>
      <c r="D258" t="s">
        <v>282</v>
      </c>
      <c r="J258">
        <v>1</v>
      </c>
      <c r="M258">
        <f t="shared" si="14"/>
        <v>0</v>
      </c>
      <c r="N258">
        <f t="shared" si="15"/>
        <v>1</v>
      </c>
    </row>
    <row r="259" spans="1:14" x14ac:dyDescent="0.2">
      <c r="A259" t="s">
        <v>267</v>
      </c>
      <c r="B259" t="s">
        <v>278</v>
      </c>
      <c r="C259" t="s">
        <v>311</v>
      </c>
      <c r="D259" t="s">
        <v>312</v>
      </c>
      <c r="F259">
        <v>0.7</v>
      </c>
      <c r="M259">
        <f t="shared" si="14"/>
        <v>0</v>
      </c>
      <c r="N259">
        <f t="shared" si="15"/>
        <v>0.7</v>
      </c>
    </row>
    <row r="260" spans="1:14" x14ac:dyDescent="0.2">
      <c r="A260" t="s">
        <v>267</v>
      </c>
      <c r="B260" t="s">
        <v>278</v>
      </c>
      <c r="C260" t="s">
        <v>72</v>
      </c>
      <c r="D260" t="s">
        <v>327</v>
      </c>
      <c r="F260">
        <v>0.1</v>
      </c>
      <c r="J260">
        <v>1</v>
      </c>
      <c r="M260">
        <f t="shared" si="14"/>
        <v>0</v>
      </c>
      <c r="N260">
        <f t="shared" si="15"/>
        <v>1.1000000000000001</v>
      </c>
    </row>
    <row r="261" spans="1:14" x14ac:dyDescent="0.2">
      <c r="A261" t="s">
        <v>267</v>
      </c>
      <c r="B261" t="s">
        <v>278</v>
      </c>
      <c r="C261" t="s">
        <v>72</v>
      </c>
      <c r="D261" t="s">
        <v>328</v>
      </c>
      <c r="F261">
        <v>0.8</v>
      </c>
      <c r="M261">
        <f t="shared" si="14"/>
        <v>0</v>
      </c>
      <c r="N261">
        <f t="shared" si="15"/>
        <v>0.8</v>
      </c>
    </row>
    <row r="262" spans="1:14" x14ac:dyDescent="0.2">
      <c r="A262" t="s">
        <v>267</v>
      </c>
      <c r="B262" t="s">
        <v>278</v>
      </c>
      <c r="C262" t="s">
        <v>311</v>
      </c>
      <c r="D262" t="s">
        <v>329</v>
      </c>
      <c r="F262">
        <v>0.8</v>
      </c>
      <c r="M262">
        <f t="shared" si="14"/>
        <v>0</v>
      </c>
      <c r="N262">
        <f t="shared" si="15"/>
        <v>0.8</v>
      </c>
    </row>
    <row r="263" spans="1:14" x14ac:dyDescent="0.2">
      <c r="A263" t="s">
        <v>267</v>
      </c>
      <c r="B263" t="s">
        <v>278</v>
      </c>
      <c r="C263" t="s">
        <v>311</v>
      </c>
      <c r="D263" t="s">
        <v>330</v>
      </c>
      <c r="M263">
        <f t="shared" si="14"/>
        <v>0</v>
      </c>
      <c r="N263">
        <f t="shared" si="15"/>
        <v>0</v>
      </c>
    </row>
    <row r="264" spans="1:14" x14ac:dyDescent="0.2">
      <c r="A264" t="s">
        <v>267</v>
      </c>
      <c r="B264" t="s">
        <v>278</v>
      </c>
      <c r="C264" t="s">
        <v>72</v>
      </c>
      <c r="D264" t="s">
        <v>335</v>
      </c>
      <c r="J264">
        <v>2</v>
      </c>
      <c r="M264">
        <f t="shared" si="14"/>
        <v>0</v>
      </c>
      <c r="N264">
        <f t="shared" si="15"/>
        <v>2</v>
      </c>
    </row>
    <row r="265" spans="1:14" x14ac:dyDescent="0.2">
      <c r="A265" t="s">
        <v>267</v>
      </c>
      <c r="B265" t="s">
        <v>278</v>
      </c>
      <c r="C265" t="s">
        <v>336</v>
      </c>
      <c r="D265" t="s">
        <v>337</v>
      </c>
      <c r="J265">
        <v>0.5</v>
      </c>
      <c r="M265">
        <f t="shared" si="14"/>
        <v>0</v>
      </c>
      <c r="N265">
        <f t="shared" si="15"/>
        <v>0.5</v>
      </c>
    </row>
    <row r="266" spans="1:14" x14ac:dyDescent="0.2">
      <c r="A266" t="s">
        <v>267</v>
      </c>
      <c r="B266" t="s">
        <v>278</v>
      </c>
      <c r="C266" t="s">
        <v>53</v>
      </c>
      <c r="D266" t="s">
        <v>351</v>
      </c>
      <c r="F266">
        <v>0.7</v>
      </c>
      <c r="M266">
        <f t="shared" si="14"/>
        <v>0</v>
      </c>
      <c r="N266">
        <f t="shared" si="15"/>
        <v>0.7</v>
      </c>
    </row>
    <row r="267" spans="1:14" x14ac:dyDescent="0.2">
      <c r="A267" t="s">
        <v>267</v>
      </c>
      <c r="B267" t="s">
        <v>278</v>
      </c>
      <c r="C267" t="s">
        <v>72</v>
      </c>
      <c r="D267" t="s">
        <v>352</v>
      </c>
      <c r="F267">
        <v>0.8</v>
      </c>
      <c r="M267">
        <f t="shared" si="14"/>
        <v>0</v>
      </c>
      <c r="N267">
        <f t="shared" si="15"/>
        <v>0.8</v>
      </c>
    </row>
    <row r="268" spans="1:14" x14ac:dyDescent="0.2">
      <c r="A268" t="s">
        <v>267</v>
      </c>
      <c r="B268" t="s">
        <v>278</v>
      </c>
      <c r="C268" t="s">
        <v>53</v>
      </c>
      <c r="D268" t="s">
        <v>357</v>
      </c>
      <c r="F268">
        <v>0.8</v>
      </c>
      <c r="M268">
        <f t="shared" si="14"/>
        <v>0</v>
      </c>
      <c r="N268">
        <f t="shared" si="15"/>
        <v>0.8</v>
      </c>
    </row>
    <row r="269" spans="1:14" x14ac:dyDescent="0.2">
      <c r="A269" t="s">
        <v>267</v>
      </c>
      <c r="B269" t="s">
        <v>278</v>
      </c>
      <c r="C269" t="s">
        <v>80</v>
      </c>
      <c r="D269" t="s">
        <v>378</v>
      </c>
      <c r="F269">
        <v>1</v>
      </c>
      <c r="M269">
        <f t="shared" si="14"/>
        <v>0</v>
      </c>
      <c r="N269">
        <f t="shared" si="15"/>
        <v>1</v>
      </c>
    </row>
    <row r="270" spans="1:14" x14ac:dyDescent="0.2">
      <c r="A270" t="s">
        <v>267</v>
      </c>
      <c r="B270" t="s">
        <v>278</v>
      </c>
      <c r="C270" t="s">
        <v>53</v>
      </c>
      <c r="D270" t="s">
        <v>401</v>
      </c>
      <c r="J270">
        <v>0.7</v>
      </c>
      <c r="M270">
        <f t="shared" si="14"/>
        <v>0</v>
      </c>
      <c r="N270">
        <f t="shared" si="15"/>
        <v>0.7</v>
      </c>
    </row>
    <row r="271" spans="1:14" x14ac:dyDescent="0.2">
      <c r="A271" t="s">
        <v>267</v>
      </c>
      <c r="B271" t="s">
        <v>278</v>
      </c>
      <c r="C271" t="s">
        <v>53</v>
      </c>
      <c r="D271" t="s">
        <v>406</v>
      </c>
      <c r="M271">
        <f t="shared" si="14"/>
        <v>0</v>
      </c>
      <c r="N271">
        <f t="shared" si="15"/>
        <v>0</v>
      </c>
    </row>
    <row r="272" spans="1:14" x14ac:dyDescent="0.2">
      <c r="A272" t="s">
        <v>420</v>
      </c>
      <c r="B272" t="s">
        <v>421</v>
      </c>
      <c r="C272" t="s">
        <v>428</v>
      </c>
      <c r="D272" t="s">
        <v>429</v>
      </c>
      <c r="M272">
        <f t="shared" si="14"/>
        <v>0</v>
      </c>
      <c r="N272">
        <f t="shared" si="15"/>
        <v>0</v>
      </c>
    </row>
    <row r="273" spans="1:14" x14ac:dyDescent="0.2">
      <c r="A273" t="s">
        <v>420</v>
      </c>
      <c r="B273" t="s">
        <v>421</v>
      </c>
      <c r="C273" t="s">
        <v>426</v>
      </c>
      <c r="D273" t="s">
        <v>427</v>
      </c>
      <c r="M273">
        <f t="shared" si="14"/>
        <v>0</v>
      </c>
      <c r="N273">
        <f t="shared" si="15"/>
        <v>0</v>
      </c>
    </row>
    <row r="274" spans="1:14" x14ac:dyDescent="0.2">
      <c r="A274" t="s">
        <v>420</v>
      </c>
      <c r="B274" t="s">
        <v>421</v>
      </c>
      <c r="C274" t="s">
        <v>424</v>
      </c>
      <c r="D274" t="s">
        <v>425</v>
      </c>
      <c r="M274">
        <f t="shared" si="14"/>
        <v>0</v>
      </c>
      <c r="N274">
        <f t="shared" si="15"/>
        <v>0</v>
      </c>
    </row>
    <row r="275" spans="1:14" x14ac:dyDescent="0.2">
      <c r="A275" t="s">
        <v>420</v>
      </c>
      <c r="B275" t="s">
        <v>421</v>
      </c>
      <c r="C275" t="s">
        <v>422</v>
      </c>
      <c r="D275" t="s">
        <v>423</v>
      </c>
      <c r="M275">
        <f t="shared" si="14"/>
        <v>0</v>
      </c>
      <c r="N275">
        <f t="shared" si="15"/>
        <v>0</v>
      </c>
    </row>
    <row r="276" spans="1:14" x14ac:dyDescent="0.2">
      <c r="A276" t="s">
        <v>430</v>
      </c>
      <c r="B276" t="s">
        <v>431</v>
      </c>
      <c r="C276" t="s">
        <v>466</v>
      </c>
      <c r="D276" t="s">
        <v>467</v>
      </c>
      <c r="J276">
        <v>3</v>
      </c>
      <c r="M276">
        <f t="shared" si="14"/>
        <v>0</v>
      </c>
      <c r="N276">
        <f t="shared" si="15"/>
        <v>3</v>
      </c>
    </row>
    <row r="277" spans="1:14" x14ac:dyDescent="0.2">
      <c r="A277" t="s">
        <v>430</v>
      </c>
      <c r="B277" t="s">
        <v>431</v>
      </c>
      <c r="C277" t="s">
        <v>432</v>
      </c>
      <c r="D277" t="s">
        <v>419</v>
      </c>
      <c r="M277">
        <f t="shared" si="14"/>
        <v>0</v>
      </c>
      <c r="N277">
        <f t="shared" si="15"/>
        <v>0</v>
      </c>
    </row>
    <row r="278" spans="1:14" x14ac:dyDescent="0.2">
      <c r="A278" t="s">
        <v>430</v>
      </c>
      <c r="B278" t="s">
        <v>431</v>
      </c>
      <c r="C278" t="s">
        <v>432</v>
      </c>
      <c r="D278" t="s">
        <v>464</v>
      </c>
      <c r="J278">
        <v>7</v>
      </c>
      <c r="M278">
        <f t="shared" ref="M278:M309" si="16">SUM(E278,G278,I278,K278)</f>
        <v>0</v>
      </c>
      <c r="N278">
        <f t="shared" ref="N278:N309" si="17">SUM(F278,H278,J278,L278)</f>
        <v>7</v>
      </c>
    </row>
    <row r="279" spans="1:14" x14ac:dyDescent="0.2">
      <c r="A279" t="s">
        <v>430</v>
      </c>
      <c r="B279" t="s">
        <v>431</v>
      </c>
      <c r="C279" t="s">
        <v>432</v>
      </c>
      <c r="D279" t="s">
        <v>463</v>
      </c>
      <c r="J279">
        <v>1</v>
      </c>
      <c r="M279">
        <f t="shared" si="16"/>
        <v>0</v>
      </c>
      <c r="N279">
        <f t="shared" si="17"/>
        <v>1</v>
      </c>
    </row>
    <row r="280" spans="1:14" x14ac:dyDescent="0.2">
      <c r="A280" t="s">
        <v>430</v>
      </c>
      <c r="B280" t="s">
        <v>431</v>
      </c>
      <c r="C280" t="s">
        <v>432</v>
      </c>
      <c r="D280" t="s">
        <v>462</v>
      </c>
      <c r="M280">
        <f t="shared" si="16"/>
        <v>0</v>
      </c>
      <c r="N280">
        <f t="shared" si="17"/>
        <v>0</v>
      </c>
    </row>
    <row r="281" spans="1:14" x14ac:dyDescent="0.2">
      <c r="A281" t="s">
        <v>430</v>
      </c>
      <c r="B281" t="s">
        <v>431</v>
      </c>
      <c r="C281" t="s">
        <v>359</v>
      </c>
      <c r="D281" t="s">
        <v>461</v>
      </c>
      <c r="J281">
        <v>3</v>
      </c>
      <c r="M281">
        <f t="shared" si="16"/>
        <v>0</v>
      </c>
      <c r="N281">
        <f t="shared" si="17"/>
        <v>3</v>
      </c>
    </row>
    <row r="282" spans="1:14" x14ac:dyDescent="0.2">
      <c r="A282" t="s">
        <v>430</v>
      </c>
      <c r="B282" t="s">
        <v>431</v>
      </c>
      <c r="C282" t="s">
        <v>445</v>
      </c>
      <c r="D282" t="s">
        <v>460</v>
      </c>
      <c r="J282">
        <v>3</v>
      </c>
      <c r="M282">
        <f t="shared" si="16"/>
        <v>0</v>
      </c>
      <c r="N282">
        <f t="shared" si="17"/>
        <v>3</v>
      </c>
    </row>
    <row r="283" spans="1:14" x14ac:dyDescent="0.2">
      <c r="A283" t="s">
        <v>430</v>
      </c>
      <c r="B283" t="s">
        <v>431</v>
      </c>
      <c r="C283" t="s">
        <v>438</v>
      </c>
      <c r="D283" t="s">
        <v>459</v>
      </c>
      <c r="F283">
        <v>1.2</v>
      </c>
      <c r="J283">
        <v>9</v>
      </c>
      <c r="L283">
        <v>15</v>
      </c>
      <c r="M283">
        <f t="shared" si="16"/>
        <v>0</v>
      </c>
      <c r="N283">
        <f t="shared" si="17"/>
        <v>25.2</v>
      </c>
    </row>
    <row r="284" spans="1:14" x14ac:dyDescent="0.2">
      <c r="A284" t="s">
        <v>430</v>
      </c>
      <c r="B284" t="s">
        <v>431</v>
      </c>
      <c r="C284" t="s">
        <v>432</v>
      </c>
      <c r="D284" t="s">
        <v>458</v>
      </c>
      <c r="J284">
        <v>15</v>
      </c>
      <c r="M284">
        <f t="shared" si="16"/>
        <v>0</v>
      </c>
      <c r="N284">
        <f t="shared" si="17"/>
        <v>15</v>
      </c>
    </row>
    <row r="285" spans="1:14" x14ac:dyDescent="0.2">
      <c r="A285" t="s">
        <v>430</v>
      </c>
      <c r="B285" t="s">
        <v>431</v>
      </c>
      <c r="C285" t="s">
        <v>438</v>
      </c>
      <c r="D285" t="s">
        <v>457</v>
      </c>
      <c r="M285">
        <f t="shared" si="16"/>
        <v>0</v>
      </c>
      <c r="N285">
        <f t="shared" si="17"/>
        <v>0</v>
      </c>
    </row>
    <row r="286" spans="1:14" x14ac:dyDescent="0.2">
      <c r="A286" t="s">
        <v>430</v>
      </c>
      <c r="B286" t="s">
        <v>431</v>
      </c>
      <c r="C286" t="s">
        <v>438</v>
      </c>
      <c r="D286" t="s">
        <v>456</v>
      </c>
      <c r="F286">
        <v>1.5</v>
      </c>
      <c r="J286">
        <v>14</v>
      </c>
      <c r="L286">
        <v>17</v>
      </c>
      <c r="M286">
        <f t="shared" si="16"/>
        <v>0</v>
      </c>
      <c r="N286">
        <f t="shared" si="17"/>
        <v>32.5</v>
      </c>
    </row>
    <row r="287" spans="1:14" x14ac:dyDescent="0.2">
      <c r="A287" t="s">
        <v>430</v>
      </c>
      <c r="B287" t="s">
        <v>431</v>
      </c>
      <c r="C287" t="s">
        <v>432</v>
      </c>
      <c r="D287" t="s">
        <v>455</v>
      </c>
      <c r="F287">
        <v>1.5</v>
      </c>
      <c r="J287">
        <v>7</v>
      </c>
      <c r="L287">
        <v>8</v>
      </c>
      <c r="M287">
        <f t="shared" si="16"/>
        <v>0</v>
      </c>
      <c r="N287">
        <f t="shared" si="17"/>
        <v>16.5</v>
      </c>
    </row>
    <row r="288" spans="1:14" x14ac:dyDescent="0.2">
      <c r="A288" t="s">
        <v>430</v>
      </c>
      <c r="B288" t="s">
        <v>431</v>
      </c>
      <c r="C288" t="s">
        <v>432</v>
      </c>
      <c r="D288" t="s">
        <v>454</v>
      </c>
      <c r="F288">
        <v>1.5</v>
      </c>
      <c r="J288">
        <v>9</v>
      </c>
      <c r="L288">
        <v>17</v>
      </c>
      <c r="M288">
        <f t="shared" si="16"/>
        <v>0</v>
      </c>
      <c r="N288">
        <f t="shared" si="17"/>
        <v>27.5</v>
      </c>
    </row>
    <row r="289" spans="1:14" x14ac:dyDescent="0.2">
      <c r="A289" t="s">
        <v>430</v>
      </c>
      <c r="B289" t="s">
        <v>431</v>
      </c>
      <c r="C289" t="s">
        <v>432</v>
      </c>
      <c r="D289" t="s">
        <v>453</v>
      </c>
      <c r="F289">
        <v>2.6</v>
      </c>
      <c r="J289">
        <v>18</v>
      </c>
      <c r="L289">
        <v>8</v>
      </c>
      <c r="M289">
        <f t="shared" si="16"/>
        <v>0</v>
      </c>
      <c r="N289">
        <f t="shared" si="17"/>
        <v>28.6</v>
      </c>
    </row>
    <row r="290" spans="1:14" x14ac:dyDescent="0.2">
      <c r="A290" t="s">
        <v>430</v>
      </c>
      <c r="B290" t="s">
        <v>431</v>
      </c>
      <c r="C290" t="s">
        <v>432</v>
      </c>
      <c r="D290" t="s">
        <v>452</v>
      </c>
      <c r="M290">
        <f t="shared" si="16"/>
        <v>0</v>
      </c>
      <c r="N290">
        <f t="shared" si="17"/>
        <v>0</v>
      </c>
    </row>
    <row r="291" spans="1:14" x14ac:dyDescent="0.2">
      <c r="A291" t="s">
        <v>430</v>
      </c>
      <c r="B291" t="s">
        <v>431</v>
      </c>
      <c r="C291" t="s">
        <v>438</v>
      </c>
      <c r="D291" t="s">
        <v>451</v>
      </c>
      <c r="F291">
        <v>2</v>
      </c>
      <c r="J291">
        <v>7</v>
      </c>
      <c r="L291">
        <v>13</v>
      </c>
      <c r="M291">
        <f t="shared" si="16"/>
        <v>0</v>
      </c>
      <c r="N291">
        <f t="shared" si="17"/>
        <v>22</v>
      </c>
    </row>
    <row r="292" spans="1:14" x14ac:dyDescent="0.2">
      <c r="A292" t="s">
        <v>430</v>
      </c>
      <c r="B292" t="s">
        <v>431</v>
      </c>
      <c r="C292" t="s">
        <v>438</v>
      </c>
      <c r="D292" t="s">
        <v>451</v>
      </c>
      <c r="J292">
        <v>2</v>
      </c>
      <c r="M292">
        <f t="shared" si="16"/>
        <v>0</v>
      </c>
      <c r="N292">
        <f t="shared" si="17"/>
        <v>2</v>
      </c>
    </row>
    <row r="293" spans="1:14" x14ac:dyDescent="0.2">
      <c r="A293" t="s">
        <v>430</v>
      </c>
      <c r="B293" t="s">
        <v>431</v>
      </c>
      <c r="C293" t="s">
        <v>432</v>
      </c>
      <c r="D293" t="s">
        <v>450</v>
      </c>
      <c r="J293">
        <v>17.5</v>
      </c>
      <c r="M293">
        <f t="shared" si="16"/>
        <v>0</v>
      </c>
      <c r="N293">
        <f t="shared" si="17"/>
        <v>17.5</v>
      </c>
    </row>
    <row r="294" spans="1:14" x14ac:dyDescent="0.2">
      <c r="A294" t="s">
        <v>430</v>
      </c>
      <c r="B294" t="s">
        <v>431</v>
      </c>
      <c r="C294" t="s">
        <v>438</v>
      </c>
      <c r="D294" t="s">
        <v>449</v>
      </c>
      <c r="J294">
        <v>6</v>
      </c>
      <c r="M294">
        <f t="shared" si="16"/>
        <v>0</v>
      </c>
      <c r="N294">
        <f t="shared" si="17"/>
        <v>6</v>
      </c>
    </row>
    <row r="295" spans="1:14" x14ac:dyDescent="0.2">
      <c r="A295" t="s">
        <v>430</v>
      </c>
      <c r="B295" t="s">
        <v>431</v>
      </c>
      <c r="C295" t="s">
        <v>432</v>
      </c>
      <c r="D295" t="s">
        <v>448</v>
      </c>
      <c r="J295">
        <v>13.5</v>
      </c>
      <c r="M295">
        <f t="shared" si="16"/>
        <v>0</v>
      </c>
      <c r="N295">
        <f t="shared" si="17"/>
        <v>13.5</v>
      </c>
    </row>
    <row r="296" spans="1:14" x14ac:dyDescent="0.2">
      <c r="A296" t="s">
        <v>430</v>
      </c>
      <c r="B296" t="s">
        <v>431</v>
      </c>
      <c r="C296" t="s">
        <v>432</v>
      </c>
      <c r="D296" t="s">
        <v>447</v>
      </c>
      <c r="M296">
        <f t="shared" si="16"/>
        <v>0</v>
      </c>
      <c r="N296">
        <f t="shared" si="17"/>
        <v>0</v>
      </c>
    </row>
    <row r="297" spans="1:14" x14ac:dyDescent="0.2">
      <c r="A297" t="s">
        <v>430</v>
      </c>
      <c r="B297" t="s">
        <v>431</v>
      </c>
      <c r="C297" t="s">
        <v>445</v>
      </c>
      <c r="D297" t="s">
        <v>446</v>
      </c>
      <c r="M297">
        <f t="shared" si="16"/>
        <v>0</v>
      </c>
      <c r="N297">
        <f t="shared" si="17"/>
        <v>0</v>
      </c>
    </row>
    <row r="298" spans="1:14" x14ac:dyDescent="0.2">
      <c r="A298" t="s">
        <v>430</v>
      </c>
      <c r="B298" t="s">
        <v>431</v>
      </c>
      <c r="C298" t="s">
        <v>359</v>
      </c>
      <c r="D298" t="s">
        <v>444</v>
      </c>
      <c r="J298">
        <v>3</v>
      </c>
      <c r="M298">
        <f t="shared" si="16"/>
        <v>0</v>
      </c>
      <c r="N298">
        <f t="shared" si="17"/>
        <v>3</v>
      </c>
    </row>
    <row r="299" spans="1:14" x14ac:dyDescent="0.2">
      <c r="A299" t="s">
        <v>430</v>
      </c>
      <c r="B299" t="s">
        <v>431</v>
      </c>
      <c r="C299" t="s">
        <v>442</v>
      </c>
      <c r="D299" t="s">
        <v>443</v>
      </c>
      <c r="M299">
        <f t="shared" si="16"/>
        <v>0</v>
      </c>
      <c r="N299">
        <f t="shared" si="17"/>
        <v>0</v>
      </c>
    </row>
    <row r="300" spans="1:14" x14ac:dyDescent="0.2">
      <c r="A300" t="s">
        <v>430</v>
      </c>
      <c r="B300" t="s">
        <v>431</v>
      </c>
      <c r="C300" t="s">
        <v>432</v>
      </c>
      <c r="D300" t="s">
        <v>441</v>
      </c>
      <c r="F300">
        <v>0.8</v>
      </c>
      <c r="J300">
        <v>34</v>
      </c>
      <c r="L300">
        <v>12</v>
      </c>
      <c r="M300">
        <f t="shared" si="16"/>
        <v>0</v>
      </c>
      <c r="N300">
        <f t="shared" si="17"/>
        <v>46.8</v>
      </c>
    </row>
    <row r="301" spans="1:14" x14ac:dyDescent="0.2">
      <c r="A301" t="s">
        <v>430</v>
      </c>
      <c r="B301" t="s">
        <v>431</v>
      </c>
      <c r="C301" t="s">
        <v>359</v>
      </c>
      <c r="D301" t="s">
        <v>440</v>
      </c>
      <c r="J301">
        <v>2</v>
      </c>
      <c r="M301">
        <f t="shared" si="16"/>
        <v>0</v>
      </c>
      <c r="N301">
        <f t="shared" si="17"/>
        <v>2</v>
      </c>
    </row>
    <row r="302" spans="1:14" x14ac:dyDescent="0.2">
      <c r="A302" t="s">
        <v>430</v>
      </c>
      <c r="B302" t="s">
        <v>431</v>
      </c>
      <c r="C302" t="s">
        <v>438</v>
      </c>
      <c r="D302" t="s">
        <v>439</v>
      </c>
      <c r="J302">
        <v>3</v>
      </c>
      <c r="M302">
        <f t="shared" si="16"/>
        <v>0</v>
      </c>
      <c r="N302">
        <f t="shared" si="17"/>
        <v>3</v>
      </c>
    </row>
    <row r="303" spans="1:14" x14ac:dyDescent="0.2">
      <c r="A303" t="s">
        <v>430</v>
      </c>
      <c r="B303" t="s">
        <v>431</v>
      </c>
      <c r="C303" t="s">
        <v>432</v>
      </c>
      <c r="D303" t="s">
        <v>437</v>
      </c>
      <c r="F303">
        <v>1</v>
      </c>
      <c r="M303">
        <f t="shared" si="16"/>
        <v>0</v>
      </c>
      <c r="N303">
        <f t="shared" si="17"/>
        <v>1</v>
      </c>
    </row>
    <row r="304" spans="1:14" x14ac:dyDescent="0.2">
      <c r="A304" t="s">
        <v>430</v>
      </c>
      <c r="B304" t="s">
        <v>431</v>
      </c>
      <c r="C304" t="s">
        <v>435</v>
      </c>
      <c r="D304" t="s">
        <v>436</v>
      </c>
      <c r="F304">
        <v>0.7</v>
      </c>
      <c r="J304">
        <v>11</v>
      </c>
      <c r="L304">
        <v>8</v>
      </c>
      <c r="M304">
        <f t="shared" si="16"/>
        <v>0</v>
      </c>
      <c r="N304">
        <f t="shared" si="17"/>
        <v>19.7</v>
      </c>
    </row>
    <row r="305" spans="1:14" x14ac:dyDescent="0.2">
      <c r="A305" t="s">
        <v>430</v>
      </c>
      <c r="B305" t="s">
        <v>431</v>
      </c>
      <c r="C305" t="s">
        <v>432</v>
      </c>
      <c r="D305" t="s">
        <v>434</v>
      </c>
      <c r="M305">
        <f t="shared" si="16"/>
        <v>0</v>
      </c>
      <c r="N305">
        <f t="shared" si="17"/>
        <v>0</v>
      </c>
    </row>
    <row r="306" spans="1:14" x14ac:dyDescent="0.2">
      <c r="A306" t="s">
        <v>430</v>
      </c>
      <c r="B306" t="s">
        <v>431</v>
      </c>
      <c r="C306" t="s">
        <v>432</v>
      </c>
      <c r="D306" t="s">
        <v>433</v>
      </c>
      <c r="J306">
        <v>4</v>
      </c>
      <c r="M306">
        <f t="shared" si="16"/>
        <v>0</v>
      </c>
      <c r="N306">
        <f t="shared" si="17"/>
        <v>4</v>
      </c>
    </row>
    <row r="307" spans="1:14" x14ac:dyDescent="0.2">
      <c r="A307" t="s">
        <v>430</v>
      </c>
      <c r="B307" t="s">
        <v>468</v>
      </c>
      <c r="C307" t="s">
        <v>432</v>
      </c>
      <c r="D307" t="s">
        <v>481</v>
      </c>
      <c r="J307">
        <v>2</v>
      </c>
      <c r="L307">
        <v>1</v>
      </c>
      <c r="M307">
        <f t="shared" si="16"/>
        <v>0</v>
      </c>
      <c r="N307">
        <f t="shared" si="17"/>
        <v>3</v>
      </c>
    </row>
    <row r="308" spans="1:14" x14ac:dyDescent="0.2">
      <c r="A308" t="s">
        <v>430</v>
      </c>
      <c r="B308" t="s">
        <v>468</v>
      </c>
      <c r="C308" t="s">
        <v>479</v>
      </c>
      <c r="D308" t="s">
        <v>480</v>
      </c>
      <c r="L308">
        <v>3</v>
      </c>
      <c r="M308">
        <f t="shared" si="16"/>
        <v>0</v>
      </c>
      <c r="N308">
        <f t="shared" si="17"/>
        <v>3</v>
      </c>
    </row>
    <row r="309" spans="1:14" x14ac:dyDescent="0.2">
      <c r="A309" t="s">
        <v>430</v>
      </c>
      <c r="B309" t="s">
        <v>468</v>
      </c>
      <c r="C309" t="s">
        <v>435</v>
      </c>
      <c r="D309" t="s">
        <v>477</v>
      </c>
      <c r="M309">
        <f t="shared" si="16"/>
        <v>0</v>
      </c>
      <c r="N309">
        <f t="shared" si="17"/>
        <v>0</v>
      </c>
    </row>
    <row r="310" spans="1:14" x14ac:dyDescent="0.2">
      <c r="A310" t="s">
        <v>430</v>
      </c>
      <c r="B310" t="s">
        <v>468</v>
      </c>
      <c r="C310" t="s">
        <v>432</v>
      </c>
      <c r="D310" t="s">
        <v>476</v>
      </c>
      <c r="L310">
        <v>1</v>
      </c>
      <c r="M310">
        <f t="shared" ref="M310:M341" si="18">SUM(E310,G310,I310,K310)</f>
        <v>0</v>
      </c>
      <c r="N310">
        <f t="shared" ref="N310:N341" si="19">SUM(F310,H310,J310,L310)</f>
        <v>1</v>
      </c>
    </row>
    <row r="311" spans="1:14" x14ac:dyDescent="0.2">
      <c r="A311" t="s">
        <v>430</v>
      </c>
      <c r="B311" t="s">
        <v>468</v>
      </c>
      <c r="C311" t="s">
        <v>432</v>
      </c>
      <c r="D311" t="s">
        <v>475</v>
      </c>
      <c r="M311">
        <f t="shared" si="18"/>
        <v>0</v>
      </c>
      <c r="N311">
        <f t="shared" si="19"/>
        <v>0</v>
      </c>
    </row>
    <row r="312" spans="1:14" x14ac:dyDescent="0.2">
      <c r="A312" t="s">
        <v>430</v>
      </c>
      <c r="B312" t="s">
        <v>468</v>
      </c>
      <c r="C312" t="s">
        <v>432</v>
      </c>
      <c r="D312" t="s">
        <v>474</v>
      </c>
      <c r="M312">
        <f t="shared" si="18"/>
        <v>0</v>
      </c>
      <c r="N312">
        <f t="shared" si="19"/>
        <v>0</v>
      </c>
    </row>
    <row r="313" spans="1:14" x14ac:dyDescent="0.2">
      <c r="A313" t="s">
        <v>430</v>
      </c>
      <c r="B313" t="s">
        <v>468</v>
      </c>
      <c r="C313" t="s">
        <v>438</v>
      </c>
      <c r="D313" t="s">
        <v>472</v>
      </c>
      <c r="F313">
        <v>6.5</v>
      </c>
      <c r="J313">
        <v>5</v>
      </c>
      <c r="M313">
        <f t="shared" si="18"/>
        <v>0</v>
      </c>
      <c r="N313">
        <f t="shared" si="19"/>
        <v>11.5</v>
      </c>
    </row>
    <row r="314" spans="1:14" x14ac:dyDescent="0.2">
      <c r="A314" t="s">
        <v>430</v>
      </c>
      <c r="B314" t="s">
        <v>468</v>
      </c>
      <c r="C314" t="s">
        <v>432</v>
      </c>
      <c r="D314" t="s">
        <v>470</v>
      </c>
      <c r="F314">
        <v>2.2000000000000002</v>
      </c>
      <c r="J314">
        <v>3</v>
      </c>
      <c r="L314">
        <v>12</v>
      </c>
      <c r="M314">
        <f t="shared" si="18"/>
        <v>0</v>
      </c>
      <c r="N314">
        <f t="shared" si="19"/>
        <v>17.2</v>
      </c>
    </row>
    <row r="315" spans="1:14" x14ac:dyDescent="0.2">
      <c r="A315" t="s">
        <v>430</v>
      </c>
      <c r="B315" t="s">
        <v>468</v>
      </c>
      <c r="C315" t="s">
        <v>432</v>
      </c>
      <c r="D315" t="s">
        <v>471</v>
      </c>
      <c r="M315">
        <f t="shared" si="18"/>
        <v>0</v>
      </c>
      <c r="N315">
        <f t="shared" si="19"/>
        <v>0</v>
      </c>
    </row>
    <row r="316" spans="1:14" x14ac:dyDescent="0.2">
      <c r="A316" t="s">
        <v>430</v>
      </c>
      <c r="B316" t="s">
        <v>468</v>
      </c>
      <c r="C316" t="s">
        <v>435</v>
      </c>
      <c r="D316" t="s">
        <v>469</v>
      </c>
      <c r="M316">
        <f t="shared" si="18"/>
        <v>0</v>
      </c>
      <c r="N316">
        <f t="shared" si="19"/>
        <v>0</v>
      </c>
    </row>
    <row r="317" spans="1:14" x14ac:dyDescent="0.2">
      <c r="A317" t="s">
        <v>430</v>
      </c>
      <c r="B317" t="s">
        <v>482</v>
      </c>
      <c r="C317" t="s">
        <v>498</v>
      </c>
      <c r="D317" t="s">
        <v>499</v>
      </c>
      <c r="F317">
        <v>2.8</v>
      </c>
      <c r="L317">
        <v>9</v>
      </c>
      <c r="M317">
        <f t="shared" si="18"/>
        <v>0</v>
      </c>
      <c r="N317">
        <f t="shared" si="19"/>
        <v>11.8</v>
      </c>
    </row>
    <row r="318" spans="1:14" x14ac:dyDescent="0.2">
      <c r="A318" t="s">
        <v>430</v>
      </c>
      <c r="B318" t="s">
        <v>482</v>
      </c>
      <c r="C318" t="s">
        <v>432</v>
      </c>
      <c r="D318" t="s">
        <v>497</v>
      </c>
      <c r="L318">
        <v>3</v>
      </c>
      <c r="M318">
        <f t="shared" si="18"/>
        <v>0</v>
      </c>
      <c r="N318">
        <f t="shared" si="19"/>
        <v>3</v>
      </c>
    </row>
    <row r="319" spans="1:14" x14ac:dyDescent="0.2">
      <c r="A319" t="s">
        <v>430</v>
      </c>
      <c r="B319" t="s">
        <v>482</v>
      </c>
      <c r="C319" t="s">
        <v>495</v>
      </c>
      <c r="D319" t="s">
        <v>496</v>
      </c>
      <c r="L319">
        <v>2.8</v>
      </c>
      <c r="M319">
        <f t="shared" si="18"/>
        <v>0</v>
      </c>
      <c r="N319">
        <f t="shared" si="19"/>
        <v>2.8</v>
      </c>
    </row>
    <row r="320" spans="1:14" x14ac:dyDescent="0.2">
      <c r="A320" t="s">
        <v>430</v>
      </c>
      <c r="B320" t="s">
        <v>482</v>
      </c>
      <c r="C320" t="s">
        <v>432</v>
      </c>
      <c r="D320" t="s">
        <v>494</v>
      </c>
      <c r="F320">
        <v>3.5</v>
      </c>
      <c r="J320">
        <v>5</v>
      </c>
      <c r="L320">
        <v>1</v>
      </c>
      <c r="M320">
        <f t="shared" si="18"/>
        <v>0</v>
      </c>
      <c r="N320">
        <f t="shared" si="19"/>
        <v>9.5</v>
      </c>
    </row>
    <row r="321" spans="1:14" x14ac:dyDescent="0.2">
      <c r="A321" t="s">
        <v>430</v>
      </c>
      <c r="B321" t="s">
        <v>482</v>
      </c>
      <c r="C321" t="s">
        <v>432</v>
      </c>
      <c r="D321" t="s">
        <v>493</v>
      </c>
      <c r="F321">
        <v>2.5</v>
      </c>
      <c r="M321">
        <f t="shared" si="18"/>
        <v>0</v>
      </c>
      <c r="N321">
        <f t="shared" si="19"/>
        <v>2.5</v>
      </c>
    </row>
    <row r="322" spans="1:14" x14ac:dyDescent="0.2">
      <c r="A322" t="s">
        <v>430</v>
      </c>
      <c r="B322" t="s">
        <v>482</v>
      </c>
      <c r="C322" t="s">
        <v>432</v>
      </c>
      <c r="D322" t="s">
        <v>560</v>
      </c>
      <c r="F322">
        <v>4</v>
      </c>
      <c r="M322">
        <f t="shared" si="18"/>
        <v>0</v>
      </c>
      <c r="N322">
        <f t="shared" si="19"/>
        <v>4</v>
      </c>
    </row>
    <row r="323" spans="1:14" x14ac:dyDescent="0.2">
      <c r="A323" t="s">
        <v>430</v>
      </c>
      <c r="B323" t="s">
        <v>482</v>
      </c>
      <c r="C323" t="s">
        <v>561</v>
      </c>
      <c r="D323" t="s">
        <v>562</v>
      </c>
      <c r="L323">
        <v>1</v>
      </c>
      <c r="M323">
        <f t="shared" si="18"/>
        <v>0</v>
      </c>
      <c r="N323">
        <f t="shared" si="19"/>
        <v>1</v>
      </c>
    </row>
    <row r="324" spans="1:14" x14ac:dyDescent="0.2">
      <c r="A324" t="s">
        <v>430</v>
      </c>
      <c r="B324" t="s">
        <v>482</v>
      </c>
      <c r="C324" t="s">
        <v>359</v>
      </c>
      <c r="D324" t="s">
        <v>563</v>
      </c>
      <c r="F324">
        <v>2.5</v>
      </c>
      <c r="M324">
        <f t="shared" si="18"/>
        <v>0</v>
      </c>
      <c r="N324">
        <f t="shared" si="19"/>
        <v>2.5</v>
      </c>
    </row>
    <row r="325" spans="1:14" x14ac:dyDescent="0.2">
      <c r="A325" t="s">
        <v>430</v>
      </c>
      <c r="B325" t="s">
        <v>482</v>
      </c>
      <c r="C325" t="s">
        <v>432</v>
      </c>
      <c r="D325" t="s">
        <v>492</v>
      </c>
      <c r="K325">
        <v>0.8</v>
      </c>
      <c r="L325">
        <v>11</v>
      </c>
      <c r="M325">
        <f t="shared" si="18"/>
        <v>0.8</v>
      </c>
      <c r="N325">
        <f t="shared" si="19"/>
        <v>11</v>
      </c>
    </row>
    <row r="326" spans="1:14" x14ac:dyDescent="0.2">
      <c r="A326" t="s">
        <v>430</v>
      </c>
      <c r="B326" t="s">
        <v>482</v>
      </c>
      <c r="C326" t="s">
        <v>432</v>
      </c>
      <c r="D326" t="s">
        <v>491</v>
      </c>
      <c r="L326">
        <v>43</v>
      </c>
      <c r="M326">
        <f t="shared" si="18"/>
        <v>0</v>
      </c>
      <c r="N326">
        <f t="shared" si="19"/>
        <v>43</v>
      </c>
    </row>
    <row r="327" spans="1:14" x14ac:dyDescent="0.2">
      <c r="A327" t="s">
        <v>430</v>
      </c>
      <c r="B327" t="s">
        <v>482</v>
      </c>
      <c r="C327" t="s">
        <v>56</v>
      </c>
      <c r="D327" t="s">
        <v>490</v>
      </c>
      <c r="F327">
        <v>16</v>
      </c>
      <c r="K327">
        <v>1</v>
      </c>
      <c r="L327">
        <v>9</v>
      </c>
      <c r="M327">
        <f t="shared" si="18"/>
        <v>1</v>
      </c>
      <c r="N327">
        <f t="shared" si="19"/>
        <v>25</v>
      </c>
    </row>
    <row r="328" spans="1:14" x14ac:dyDescent="0.2">
      <c r="A328" t="s">
        <v>430</v>
      </c>
      <c r="B328" t="s">
        <v>482</v>
      </c>
      <c r="C328" t="s">
        <v>438</v>
      </c>
      <c r="D328" t="s">
        <v>489</v>
      </c>
      <c r="F328">
        <v>2.6</v>
      </c>
      <c r="J328">
        <v>1</v>
      </c>
      <c r="L328">
        <v>1</v>
      </c>
      <c r="M328">
        <f t="shared" si="18"/>
        <v>0</v>
      </c>
      <c r="N328">
        <f t="shared" si="19"/>
        <v>4.5999999999999996</v>
      </c>
    </row>
    <row r="329" spans="1:14" x14ac:dyDescent="0.2">
      <c r="A329" t="s">
        <v>430</v>
      </c>
      <c r="B329" t="s">
        <v>482</v>
      </c>
      <c r="C329" t="s">
        <v>487</v>
      </c>
      <c r="D329" t="s">
        <v>488</v>
      </c>
      <c r="M329">
        <f t="shared" si="18"/>
        <v>0</v>
      </c>
      <c r="N329">
        <f t="shared" si="19"/>
        <v>0</v>
      </c>
    </row>
    <row r="330" spans="1:14" x14ac:dyDescent="0.2">
      <c r="A330" t="s">
        <v>430</v>
      </c>
      <c r="B330" t="s">
        <v>482</v>
      </c>
      <c r="C330" t="s">
        <v>438</v>
      </c>
      <c r="D330" t="s">
        <v>486</v>
      </c>
      <c r="M330">
        <f t="shared" si="18"/>
        <v>0</v>
      </c>
      <c r="N330">
        <f t="shared" si="19"/>
        <v>0</v>
      </c>
    </row>
    <row r="331" spans="1:14" x14ac:dyDescent="0.2">
      <c r="A331" t="s">
        <v>430</v>
      </c>
      <c r="B331" t="s">
        <v>482</v>
      </c>
      <c r="C331" t="s">
        <v>432</v>
      </c>
      <c r="D331" t="s">
        <v>485</v>
      </c>
      <c r="L331">
        <v>2</v>
      </c>
      <c r="M331">
        <f t="shared" si="18"/>
        <v>0</v>
      </c>
      <c r="N331">
        <f t="shared" si="19"/>
        <v>2</v>
      </c>
    </row>
    <row r="332" spans="1:14" x14ac:dyDescent="0.2">
      <c r="A332" t="s">
        <v>430</v>
      </c>
      <c r="B332" t="s">
        <v>482</v>
      </c>
      <c r="C332" t="s">
        <v>432</v>
      </c>
      <c r="D332" t="s">
        <v>484</v>
      </c>
      <c r="M332">
        <f t="shared" si="18"/>
        <v>0</v>
      </c>
      <c r="N332">
        <f t="shared" si="19"/>
        <v>0</v>
      </c>
    </row>
    <row r="333" spans="1:14" x14ac:dyDescent="0.2">
      <c r="A333" t="s">
        <v>430</v>
      </c>
      <c r="B333" t="s">
        <v>482</v>
      </c>
      <c r="C333" t="s">
        <v>432</v>
      </c>
      <c r="D333" t="s">
        <v>483</v>
      </c>
      <c r="K333">
        <v>2</v>
      </c>
      <c r="M333">
        <f t="shared" si="18"/>
        <v>2</v>
      </c>
      <c r="N333">
        <f t="shared" si="19"/>
        <v>0</v>
      </c>
    </row>
    <row r="334" spans="1:14" x14ac:dyDescent="0.2">
      <c r="A334" t="s">
        <v>430</v>
      </c>
      <c r="B334" t="s">
        <v>500</v>
      </c>
      <c r="C334" t="s">
        <v>432</v>
      </c>
      <c r="D334" t="s">
        <v>528</v>
      </c>
      <c r="F334">
        <v>5.5</v>
      </c>
      <c r="J334">
        <v>7</v>
      </c>
      <c r="L334">
        <v>16</v>
      </c>
      <c r="M334">
        <f t="shared" si="18"/>
        <v>0</v>
      </c>
      <c r="N334">
        <f t="shared" si="19"/>
        <v>28.5</v>
      </c>
    </row>
    <row r="335" spans="1:14" x14ac:dyDescent="0.2">
      <c r="A335" t="s">
        <v>430</v>
      </c>
      <c r="B335" t="s">
        <v>500</v>
      </c>
      <c r="C335" t="s">
        <v>438</v>
      </c>
      <c r="D335" t="s">
        <v>527</v>
      </c>
      <c r="F335">
        <v>2.9</v>
      </c>
      <c r="J335">
        <v>4</v>
      </c>
      <c r="L335">
        <v>14</v>
      </c>
      <c r="M335">
        <f t="shared" si="18"/>
        <v>0</v>
      </c>
      <c r="N335">
        <f t="shared" si="19"/>
        <v>20.9</v>
      </c>
    </row>
    <row r="336" spans="1:14" x14ac:dyDescent="0.2">
      <c r="A336" t="s">
        <v>430</v>
      </c>
      <c r="B336" t="s">
        <v>500</v>
      </c>
      <c r="C336" t="s">
        <v>432</v>
      </c>
      <c r="D336" t="s">
        <v>526</v>
      </c>
      <c r="F336">
        <v>5</v>
      </c>
      <c r="J336">
        <v>6</v>
      </c>
      <c r="L336">
        <v>20</v>
      </c>
      <c r="M336">
        <f t="shared" si="18"/>
        <v>0</v>
      </c>
      <c r="N336">
        <f t="shared" si="19"/>
        <v>31</v>
      </c>
    </row>
    <row r="337" spans="1:14" x14ac:dyDescent="0.2">
      <c r="A337" t="s">
        <v>430</v>
      </c>
      <c r="B337" t="s">
        <v>500</v>
      </c>
      <c r="C337" t="s">
        <v>359</v>
      </c>
      <c r="D337" t="s">
        <v>525</v>
      </c>
      <c r="M337">
        <f t="shared" si="18"/>
        <v>0</v>
      </c>
      <c r="N337">
        <f t="shared" si="19"/>
        <v>0</v>
      </c>
    </row>
    <row r="338" spans="1:14" x14ac:dyDescent="0.2">
      <c r="A338" t="s">
        <v>430</v>
      </c>
      <c r="B338" t="s">
        <v>500</v>
      </c>
      <c r="C338" t="s">
        <v>498</v>
      </c>
      <c r="D338" t="s">
        <v>524</v>
      </c>
      <c r="M338">
        <f t="shared" si="18"/>
        <v>0</v>
      </c>
      <c r="N338">
        <f t="shared" si="19"/>
        <v>0</v>
      </c>
    </row>
    <row r="339" spans="1:14" x14ac:dyDescent="0.2">
      <c r="A339" t="s">
        <v>430</v>
      </c>
      <c r="B339" t="s">
        <v>500</v>
      </c>
      <c r="C339" t="s">
        <v>432</v>
      </c>
      <c r="D339" t="s">
        <v>523</v>
      </c>
      <c r="F339">
        <v>5.8</v>
      </c>
      <c r="L339">
        <v>19</v>
      </c>
      <c r="M339">
        <f t="shared" si="18"/>
        <v>0</v>
      </c>
      <c r="N339">
        <f t="shared" si="19"/>
        <v>24.8</v>
      </c>
    </row>
    <row r="340" spans="1:14" x14ac:dyDescent="0.2">
      <c r="A340" t="s">
        <v>430</v>
      </c>
      <c r="B340" t="s">
        <v>500</v>
      </c>
      <c r="C340" t="s">
        <v>438</v>
      </c>
      <c r="D340" t="s">
        <v>522</v>
      </c>
      <c r="F340">
        <v>4.2</v>
      </c>
      <c r="J340">
        <v>2</v>
      </c>
      <c r="L340">
        <v>35</v>
      </c>
      <c r="M340">
        <f t="shared" si="18"/>
        <v>0</v>
      </c>
      <c r="N340">
        <f t="shared" si="19"/>
        <v>41.2</v>
      </c>
    </row>
    <row r="341" spans="1:14" x14ac:dyDescent="0.2">
      <c r="A341" t="s">
        <v>430</v>
      </c>
      <c r="B341" t="s">
        <v>500</v>
      </c>
      <c r="C341" t="s">
        <v>498</v>
      </c>
      <c r="D341" t="s">
        <v>521</v>
      </c>
      <c r="M341">
        <f t="shared" si="18"/>
        <v>0</v>
      </c>
      <c r="N341">
        <f t="shared" si="19"/>
        <v>0</v>
      </c>
    </row>
    <row r="342" spans="1:14" x14ac:dyDescent="0.2">
      <c r="A342" t="s">
        <v>430</v>
      </c>
      <c r="B342" t="s">
        <v>500</v>
      </c>
      <c r="C342" t="s">
        <v>432</v>
      </c>
      <c r="D342" t="s">
        <v>520</v>
      </c>
      <c r="M342">
        <f t="shared" ref="M342:M361" si="20">SUM(E342,G342,I342,K342)</f>
        <v>0</v>
      </c>
      <c r="N342">
        <f t="shared" ref="N342:N361" si="21">SUM(F342,H342,J342,L342)</f>
        <v>0</v>
      </c>
    </row>
    <row r="343" spans="1:14" x14ac:dyDescent="0.2">
      <c r="A343" t="s">
        <v>430</v>
      </c>
      <c r="B343" t="s">
        <v>468</v>
      </c>
      <c r="C343" t="s">
        <v>432</v>
      </c>
      <c r="D343" t="s">
        <v>478</v>
      </c>
      <c r="F343">
        <v>5.8</v>
      </c>
      <c r="J343">
        <v>6</v>
      </c>
      <c r="L343">
        <v>10</v>
      </c>
      <c r="M343">
        <f t="shared" si="20"/>
        <v>0</v>
      </c>
      <c r="N343">
        <f t="shared" si="21"/>
        <v>21.8</v>
      </c>
    </row>
    <row r="344" spans="1:14" x14ac:dyDescent="0.2">
      <c r="A344" t="s">
        <v>430</v>
      </c>
      <c r="B344" t="s">
        <v>500</v>
      </c>
      <c r="C344" t="s">
        <v>518</v>
      </c>
      <c r="D344" t="s">
        <v>519</v>
      </c>
      <c r="L344">
        <v>1</v>
      </c>
      <c r="M344">
        <f t="shared" si="20"/>
        <v>0</v>
      </c>
      <c r="N344">
        <f t="shared" si="21"/>
        <v>1</v>
      </c>
    </row>
    <row r="345" spans="1:14" x14ac:dyDescent="0.2">
      <c r="A345" t="s">
        <v>430</v>
      </c>
      <c r="B345" t="s">
        <v>500</v>
      </c>
      <c r="C345" t="s">
        <v>432</v>
      </c>
      <c r="D345" t="s">
        <v>517</v>
      </c>
      <c r="M345">
        <f t="shared" si="20"/>
        <v>0</v>
      </c>
      <c r="N345">
        <f t="shared" si="21"/>
        <v>0</v>
      </c>
    </row>
    <row r="346" spans="1:14" x14ac:dyDescent="0.2">
      <c r="A346" t="s">
        <v>430</v>
      </c>
      <c r="B346" t="s">
        <v>500</v>
      </c>
      <c r="C346" t="s">
        <v>438</v>
      </c>
      <c r="D346" t="s">
        <v>516</v>
      </c>
      <c r="L346">
        <v>5</v>
      </c>
      <c r="M346">
        <f t="shared" si="20"/>
        <v>0</v>
      </c>
      <c r="N346">
        <f t="shared" si="21"/>
        <v>5</v>
      </c>
    </row>
    <row r="347" spans="1:14" x14ac:dyDescent="0.2">
      <c r="A347" t="s">
        <v>430</v>
      </c>
      <c r="B347" t="s">
        <v>500</v>
      </c>
      <c r="C347" t="s">
        <v>438</v>
      </c>
      <c r="D347" t="s">
        <v>564</v>
      </c>
      <c r="F347">
        <v>6.1</v>
      </c>
      <c r="J347">
        <v>4</v>
      </c>
      <c r="L347">
        <v>29</v>
      </c>
      <c r="M347">
        <f t="shared" si="20"/>
        <v>0</v>
      </c>
      <c r="N347">
        <f t="shared" si="21"/>
        <v>39.1</v>
      </c>
    </row>
    <row r="348" spans="1:14" x14ac:dyDescent="0.2">
      <c r="A348" t="s">
        <v>430</v>
      </c>
      <c r="B348" t="s">
        <v>500</v>
      </c>
      <c r="C348" t="s">
        <v>438</v>
      </c>
      <c r="D348" t="s">
        <v>514</v>
      </c>
      <c r="L348">
        <v>2</v>
      </c>
      <c r="M348">
        <f t="shared" si="20"/>
        <v>0</v>
      </c>
      <c r="N348">
        <f t="shared" si="21"/>
        <v>2</v>
      </c>
    </row>
    <row r="349" spans="1:14" x14ac:dyDescent="0.2">
      <c r="A349" t="s">
        <v>430</v>
      </c>
      <c r="B349" t="s">
        <v>500</v>
      </c>
      <c r="C349" t="s">
        <v>432</v>
      </c>
      <c r="D349" t="s">
        <v>513</v>
      </c>
      <c r="F349">
        <v>2.7</v>
      </c>
      <c r="J349">
        <v>6</v>
      </c>
      <c r="L349">
        <v>39</v>
      </c>
      <c r="M349">
        <f t="shared" si="20"/>
        <v>0</v>
      </c>
      <c r="N349">
        <f t="shared" si="21"/>
        <v>47.7</v>
      </c>
    </row>
    <row r="350" spans="1:14" x14ac:dyDescent="0.2">
      <c r="A350" t="s">
        <v>430</v>
      </c>
      <c r="B350" t="s">
        <v>500</v>
      </c>
      <c r="C350" t="s">
        <v>432</v>
      </c>
      <c r="D350" t="s">
        <v>512</v>
      </c>
      <c r="F350">
        <v>2.1</v>
      </c>
      <c r="J350">
        <v>5</v>
      </c>
      <c r="M350">
        <f t="shared" si="20"/>
        <v>0</v>
      </c>
      <c r="N350">
        <f t="shared" si="21"/>
        <v>7.1</v>
      </c>
    </row>
    <row r="351" spans="1:14" x14ac:dyDescent="0.2">
      <c r="A351" t="s">
        <v>430</v>
      </c>
      <c r="B351" t="s">
        <v>500</v>
      </c>
      <c r="C351" t="s">
        <v>438</v>
      </c>
      <c r="D351" t="s">
        <v>565</v>
      </c>
      <c r="J351">
        <v>3</v>
      </c>
      <c r="L351">
        <v>3</v>
      </c>
      <c r="M351">
        <f t="shared" si="20"/>
        <v>0</v>
      </c>
      <c r="N351">
        <f t="shared" si="21"/>
        <v>6</v>
      </c>
    </row>
    <row r="352" spans="1:14" x14ac:dyDescent="0.2">
      <c r="A352" t="s">
        <v>430</v>
      </c>
      <c r="B352" t="s">
        <v>500</v>
      </c>
      <c r="C352" t="s">
        <v>432</v>
      </c>
      <c r="D352" t="s">
        <v>510</v>
      </c>
      <c r="M352">
        <f t="shared" si="20"/>
        <v>0</v>
      </c>
      <c r="N352">
        <f t="shared" si="21"/>
        <v>0</v>
      </c>
    </row>
    <row r="353" spans="1:14" x14ac:dyDescent="0.2">
      <c r="A353" t="s">
        <v>430</v>
      </c>
      <c r="B353" t="s">
        <v>500</v>
      </c>
      <c r="C353" t="s">
        <v>432</v>
      </c>
      <c r="D353" t="s">
        <v>509</v>
      </c>
      <c r="M353">
        <f t="shared" si="20"/>
        <v>0</v>
      </c>
      <c r="N353">
        <f t="shared" si="21"/>
        <v>0</v>
      </c>
    </row>
    <row r="354" spans="1:14" x14ac:dyDescent="0.2">
      <c r="A354" t="s">
        <v>430</v>
      </c>
      <c r="B354" t="s">
        <v>500</v>
      </c>
      <c r="C354" t="s">
        <v>498</v>
      </c>
      <c r="D354" t="s">
        <v>508</v>
      </c>
      <c r="L354">
        <v>2</v>
      </c>
      <c r="M354">
        <f t="shared" si="20"/>
        <v>0</v>
      </c>
      <c r="N354">
        <f t="shared" si="21"/>
        <v>2</v>
      </c>
    </row>
    <row r="355" spans="1:14" x14ac:dyDescent="0.2">
      <c r="A355" t="s">
        <v>430</v>
      </c>
      <c r="B355" t="s">
        <v>500</v>
      </c>
      <c r="C355" t="s">
        <v>498</v>
      </c>
      <c r="D355" t="s">
        <v>507</v>
      </c>
      <c r="J355">
        <v>1</v>
      </c>
      <c r="L355">
        <v>2</v>
      </c>
      <c r="M355">
        <f t="shared" si="20"/>
        <v>0</v>
      </c>
      <c r="N355">
        <f t="shared" si="21"/>
        <v>3</v>
      </c>
    </row>
    <row r="356" spans="1:14" x14ac:dyDescent="0.2">
      <c r="A356" t="s">
        <v>430</v>
      </c>
      <c r="B356" t="s">
        <v>500</v>
      </c>
      <c r="C356" t="s">
        <v>359</v>
      </c>
      <c r="D356" t="s">
        <v>506</v>
      </c>
      <c r="J356">
        <v>2</v>
      </c>
      <c r="M356">
        <f t="shared" si="20"/>
        <v>0</v>
      </c>
      <c r="N356">
        <f t="shared" si="21"/>
        <v>2</v>
      </c>
    </row>
    <row r="357" spans="1:14" x14ac:dyDescent="0.2">
      <c r="A357" t="s">
        <v>430</v>
      </c>
      <c r="B357" t="s">
        <v>500</v>
      </c>
      <c r="C357" t="s">
        <v>432</v>
      </c>
      <c r="D357" t="s">
        <v>505</v>
      </c>
      <c r="L357">
        <v>1</v>
      </c>
      <c r="M357">
        <f t="shared" si="20"/>
        <v>0</v>
      </c>
      <c r="N357">
        <f t="shared" si="21"/>
        <v>1</v>
      </c>
    </row>
    <row r="358" spans="1:14" x14ac:dyDescent="0.2">
      <c r="A358" t="s">
        <v>430</v>
      </c>
      <c r="B358" t="s">
        <v>500</v>
      </c>
      <c r="C358" t="s">
        <v>432</v>
      </c>
      <c r="D358" t="s">
        <v>504</v>
      </c>
      <c r="M358">
        <f t="shared" si="20"/>
        <v>0</v>
      </c>
      <c r="N358">
        <f t="shared" si="21"/>
        <v>0</v>
      </c>
    </row>
    <row r="359" spans="1:14" x14ac:dyDescent="0.2">
      <c r="A359" t="s">
        <v>430</v>
      </c>
      <c r="B359" t="s">
        <v>500</v>
      </c>
      <c r="C359" t="s">
        <v>432</v>
      </c>
      <c r="D359" t="s">
        <v>503</v>
      </c>
      <c r="L359">
        <v>1.8</v>
      </c>
      <c r="M359">
        <f t="shared" si="20"/>
        <v>0</v>
      </c>
      <c r="N359">
        <f t="shared" si="21"/>
        <v>1.8</v>
      </c>
    </row>
    <row r="360" spans="1:14" x14ac:dyDescent="0.2">
      <c r="A360" t="s">
        <v>430</v>
      </c>
      <c r="B360" t="s">
        <v>500</v>
      </c>
      <c r="C360" t="s">
        <v>432</v>
      </c>
      <c r="D360" t="s">
        <v>502</v>
      </c>
      <c r="M360">
        <f t="shared" si="20"/>
        <v>0</v>
      </c>
      <c r="N360">
        <f t="shared" si="21"/>
        <v>0</v>
      </c>
    </row>
    <row r="361" spans="1:14" x14ac:dyDescent="0.2">
      <c r="A361" t="s">
        <v>430</v>
      </c>
      <c r="B361" t="s">
        <v>500</v>
      </c>
      <c r="C361" t="s">
        <v>438</v>
      </c>
      <c r="D361" t="s">
        <v>501</v>
      </c>
      <c r="L361">
        <v>8</v>
      </c>
      <c r="M361">
        <f t="shared" si="20"/>
        <v>0</v>
      </c>
      <c r="N361">
        <f t="shared" si="21"/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61"/>
  <sheetViews>
    <sheetView workbookViewId="0"/>
  </sheetViews>
  <sheetFormatPr baseColWidth="10" defaultColWidth="8.83203125" defaultRowHeight="15" x14ac:dyDescent="0.2"/>
  <cols>
    <col min="1" max="1" width="18.5" customWidth="1"/>
    <col min="2" max="2" width="23.33203125" customWidth="1"/>
    <col min="3" max="3" width="18.1640625" customWidth="1"/>
    <col min="4" max="4" width="57.6640625" customWidth="1"/>
    <col min="5" max="5" width="8.6640625" customWidth="1"/>
  </cols>
  <sheetData>
    <row r="1" spans="1:18" x14ac:dyDescent="0.2">
      <c r="E1" t="s">
        <v>5</v>
      </c>
      <c r="G1" t="s">
        <v>6</v>
      </c>
      <c r="I1" t="s">
        <v>7</v>
      </c>
      <c r="K1" t="s">
        <v>8</v>
      </c>
      <c r="M1" t="s">
        <v>9</v>
      </c>
      <c r="O1" t="s">
        <v>10</v>
      </c>
      <c r="Q1" t="s">
        <v>4</v>
      </c>
    </row>
    <row r="2" spans="1:18" x14ac:dyDescent="0.2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21</v>
      </c>
      <c r="H2" t="s">
        <v>22</v>
      </c>
      <c r="I2" t="s">
        <v>21</v>
      </c>
      <c r="K2" t="s">
        <v>21</v>
      </c>
      <c r="L2" t="s">
        <v>22</v>
      </c>
      <c r="M2" t="s">
        <v>21</v>
      </c>
      <c r="N2" t="s">
        <v>22</v>
      </c>
      <c r="O2" t="s">
        <v>21</v>
      </c>
      <c r="P2" t="s">
        <v>22</v>
      </c>
      <c r="Q2" t="s">
        <v>21</v>
      </c>
      <c r="R2" t="s">
        <v>22</v>
      </c>
    </row>
    <row r="3" spans="1:18" x14ac:dyDescent="0.2">
      <c r="A3" t="s">
        <v>23</v>
      </c>
      <c r="B3" t="s">
        <v>24</v>
      </c>
      <c r="C3" t="s">
        <v>37</v>
      </c>
      <c r="D3" t="s">
        <v>38</v>
      </c>
      <c r="Q3">
        <f>SUM(E3,G3,I3,K3,M3,O3)</f>
        <v>0</v>
      </c>
      <c r="R3">
        <f>SUM(F3,H3,J3,L3,N3,P3)</f>
        <v>0</v>
      </c>
    </row>
    <row r="4" spans="1:18" x14ac:dyDescent="0.2">
      <c r="A4" t="s">
        <v>23</v>
      </c>
      <c r="B4" t="s">
        <v>24</v>
      </c>
      <c r="C4" t="s">
        <v>546</v>
      </c>
      <c r="D4" t="s">
        <v>547</v>
      </c>
      <c r="F4">
        <v>15</v>
      </c>
    </row>
    <row r="5" spans="1:18" x14ac:dyDescent="0.2">
      <c r="A5" t="s">
        <v>23</v>
      </c>
      <c r="B5" t="s">
        <v>24</v>
      </c>
      <c r="C5" t="s">
        <v>25</v>
      </c>
      <c r="D5" t="s">
        <v>35</v>
      </c>
      <c r="F5">
        <v>13</v>
      </c>
      <c r="L5">
        <v>8</v>
      </c>
      <c r="Q5">
        <f t="shared" ref="Q5:Q46" si="0">SUM(E5,G5,I5,K5,M5,O5)</f>
        <v>0</v>
      </c>
      <c r="R5">
        <f t="shared" ref="R5:R46" si="1">SUM(F5,H5,J5,L5,N5,P5)</f>
        <v>21</v>
      </c>
    </row>
    <row r="6" spans="1:18" x14ac:dyDescent="0.2">
      <c r="A6" t="s">
        <v>23</v>
      </c>
      <c r="B6" t="s">
        <v>24</v>
      </c>
      <c r="C6" t="s">
        <v>33</v>
      </c>
      <c r="D6" t="s">
        <v>34</v>
      </c>
      <c r="F6">
        <v>25</v>
      </c>
      <c r="Q6">
        <f t="shared" si="0"/>
        <v>0</v>
      </c>
      <c r="R6">
        <f t="shared" si="1"/>
        <v>25</v>
      </c>
    </row>
    <row r="7" spans="1:18" x14ac:dyDescent="0.2">
      <c r="A7" t="s">
        <v>23</v>
      </c>
      <c r="B7" t="s">
        <v>24</v>
      </c>
      <c r="C7" t="s">
        <v>31</v>
      </c>
      <c r="D7" t="s">
        <v>32</v>
      </c>
      <c r="Q7">
        <f t="shared" si="0"/>
        <v>0</v>
      </c>
      <c r="R7">
        <f t="shared" si="1"/>
        <v>0</v>
      </c>
    </row>
    <row r="8" spans="1:18" x14ac:dyDescent="0.2">
      <c r="A8" t="s">
        <v>23</v>
      </c>
      <c r="B8" t="s">
        <v>24</v>
      </c>
      <c r="C8" t="s">
        <v>29</v>
      </c>
      <c r="D8" t="s">
        <v>30</v>
      </c>
      <c r="Q8">
        <f t="shared" si="0"/>
        <v>0</v>
      </c>
      <c r="R8">
        <f t="shared" si="1"/>
        <v>0</v>
      </c>
    </row>
    <row r="9" spans="1:18" x14ac:dyDescent="0.2">
      <c r="A9" t="s">
        <v>23</v>
      </c>
      <c r="B9" t="s">
        <v>24</v>
      </c>
      <c r="C9" t="s">
        <v>25</v>
      </c>
      <c r="D9" t="s">
        <v>548</v>
      </c>
      <c r="Q9">
        <f t="shared" si="0"/>
        <v>0</v>
      </c>
      <c r="R9">
        <f t="shared" si="1"/>
        <v>0</v>
      </c>
    </row>
    <row r="10" spans="1:18" x14ac:dyDescent="0.2">
      <c r="A10" t="s">
        <v>23</v>
      </c>
      <c r="B10" t="s">
        <v>24</v>
      </c>
      <c r="C10" t="s">
        <v>25</v>
      </c>
      <c r="D10" t="s">
        <v>549</v>
      </c>
      <c r="Q10">
        <f t="shared" si="0"/>
        <v>0</v>
      </c>
      <c r="R10">
        <f t="shared" si="1"/>
        <v>0</v>
      </c>
    </row>
    <row r="11" spans="1:18" x14ac:dyDescent="0.2">
      <c r="A11" t="s">
        <v>23</v>
      </c>
      <c r="B11" t="s">
        <v>24</v>
      </c>
      <c r="C11" t="s">
        <v>25</v>
      </c>
      <c r="D11" t="s">
        <v>26</v>
      </c>
      <c r="F11">
        <v>16</v>
      </c>
      <c r="G11">
        <v>8</v>
      </c>
      <c r="H11">
        <v>15</v>
      </c>
      <c r="Q11">
        <f t="shared" si="0"/>
        <v>8</v>
      </c>
      <c r="R11">
        <f t="shared" si="1"/>
        <v>31</v>
      </c>
    </row>
    <row r="12" spans="1:18" x14ac:dyDescent="0.2">
      <c r="A12" t="s">
        <v>23</v>
      </c>
      <c r="B12" t="s">
        <v>40</v>
      </c>
      <c r="C12" t="s">
        <v>41</v>
      </c>
      <c r="D12" t="s">
        <v>42</v>
      </c>
      <c r="F12">
        <v>11</v>
      </c>
      <c r="H12">
        <v>4</v>
      </c>
      <c r="Q12">
        <f t="shared" si="0"/>
        <v>0</v>
      </c>
      <c r="R12">
        <f t="shared" si="1"/>
        <v>15</v>
      </c>
    </row>
    <row r="13" spans="1:18" x14ac:dyDescent="0.2">
      <c r="A13" t="s">
        <v>23</v>
      </c>
      <c r="B13" t="s">
        <v>43</v>
      </c>
      <c r="C13" t="s">
        <v>41</v>
      </c>
      <c r="D13" t="s">
        <v>46</v>
      </c>
      <c r="Q13">
        <f t="shared" si="0"/>
        <v>0</v>
      </c>
      <c r="R13">
        <f t="shared" si="1"/>
        <v>0</v>
      </c>
    </row>
    <row r="14" spans="1:18" x14ac:dyDescent="0.2">
      <c r="A14" t="s">
        <v>23</v>
      </c>
      <c r="B14" t="s">
        <v>43</v>
      </c>
      <c r="C14" t="s">
        <v>44</v>
      </c>
      <c r="D14" t="s">
        <v>45</v>
      </c>
      <c r="Q14">
        <f t="shared" si="0"/>
        <v>0</v>
      </c>
      <c r="R14">
        <f t="shared" si="1"/>
        <v>0</v>
      </c>
    </row>
    <row r="15" spans="1:18" x14ac:dyDescent="0.2">
      <c r="A15" t="s">
        <v>47</v>
      </c>
      <c r="B15" t="s">
        <v>48</v>
      </c>
      <c r="C15" t="s">
        <v>53</v>
      </c>
      <c r="D15" t="s">
        <v>54</v>
      </c>
      <c r="Q15">
        <f t="shared" si="0"/>
        <v>0</v>
      </c>
      <c r="R15">
        <f t="shared" si="1"/>
        <v>0</v>
      </c>
    </row>
    <row r="16" spans="1:18" x14ac:dyDescent="0.2">
      <c r="A16" t="s">
        <v>47</v>
      </c>
      <c r="B16" t="s">
        <v>48</v>
      </c>
      <c r="C16" t="s">
        <v>51</v>
      </c>
      <c r="D16" t="s">
        <v>52</v>
      </c>
      <c r="Q16">
        <f t="shared" si="0"/>
        <v>0</v>
      </c>
      <c r="R16">
        <f t="shared" si="1"/>
        <v>0</v>
      </c>
    </row>
    <row r="17" spans="1:18" x14ac:dyDescent="0.2">
      <c r="A17" t="s">
        <v>47</v>
      </c>
      <c r="B17" t="s">
        <v>48</v>
      </c>
      <c r="C17" t="s">
        <v>49</v>
      </c>
      <c r="D17" t="s">
        <v>50</v>
      </c>
      <c r="Q17">
        <f t="shared" si="0"/>
        <v>0</v>
      </c>
      <c r="R17">
        <f t="shared" si="1"/>
        <v>0</v>
      </c>
    </row>
    <row r="18" spans="1:18" x14ac:dyDescent="0.2">
      <c r="A18" t="s">
        <v>47</v>
      </c>
      <c r="B18" t="s">
        <v>55</v>
      </c>
      <c r="C18" t="s">
        <v>58</v>
      </c>
      <c r="D18" t="s">
        <v>60</v>
      </c>
      <c r="Q18">
        <f t="shared" si="0"/>
        <v>0</v>
      </c>
      <c r="R18">
        <f t="shared" si="1"/>
        <v>0</v>
      </c>
    </row>
    <row r="19" spans="1:18" x14ac:dyDescent="0.2">
      <c r="A19" t="s">
        <v>47</v>
      </c>
      <c r="B19" t="s">
        <v>55</v>
      </c>
      <c r="C19" t="s">
        <v>58</v>
      </c>
      <c r="D19" t="s">
        <v>59</v>
      </c>
      <c r="Q19">
        <f t="shared" si="0"/>
        <v>0</v>
      </c>
      <c r="R19">
        <f t="shared" si="1"/>
        <v>0</v>
      </c>
    </row>
    <row r="20" spans="1:18" x14ac:dyDescent="0.2">
      <c r="A20" t="s">
        <v>47</v>
      </c>
      <c r="B20" t="s">
        <v>55</v>
      </c>
      <c r="C20" t="s">
        <v>56</v>
      </c>
      <c r="D20" t="s">
        <v>57</v>
      </c>
      <c r="Q20">
        <f t="shared" si="0"/>
        <v>0</v>
      </c>
      <c r="R20">
        <f t="shared" si="1"/>
        <v>0</v>
      </c>
    </row>
    <row r="21" spans="1:18" x14ac:dyDescent="0.2">
      <c r="A21" t="s">
        <v>47</v>
      </c>
      <c r="B21" t="s">
        <v>61</v>
      </c>
      <c r="C21" t="s">
        <v>67</v>
      </c>
      <c r="D21" t="s">
        <v>69</v>
      </c>
      <c r="F21">
        <v>2</v>
      </c>
      <c r="Q21">
        <f t="shared" si="0"/>
        <v>0</v>
      </c>
      <c r="R21">
        <f t="shared" si="1"/>
        <v>2</v>
      </c>
    </row>
    <row r="22" spans="1:18" x14ac:dyDescent="0.2">
      <c r="A22" t="s">
        <v>47</v>
      </c>
      <c r="B22" t="s">
        <v>61</v>
      </c>
      <c r="C22" t="s">
        <v>67</v>
      </c>
      <c r="D22" t="s">
        <v>68</v>
      </c>
      <c r="F22">
        <v>0.7</v>
      </c>
      <c r="Q22">
        <f t="shared" si="0"/>
        <v>0</v>
      </c>
      <c r="R22">
        <f t="shared" si="1"/>
        <v>0.7</v>
      </c>
    </row>
    <row r="23" spans="1:18" x14ac:dyDescent="0.2">
      <c r="A23" t="s">
        <v>47</v>
      </c>
      <c r="B23" t="s">
        <v>61</v>
      </c>
      <c r="C23" t="s">
        <v>51</v>
      </c>
      <c r="D23" t="s">
        <v>66</v>
      </c>
      <c r="Q23">
        <f t="shared" si="0"/>
        <v>0</v>
      </c>
      <c r="R23">
        <f t="shared" si="1"/>
        <v>0</v>
      </c>
    </row>
    <row r="24" spans="1:18" x14ac:dyDescent="0.2">
      <c r="A24" t="s">
        <v>47</v>
      </c>
      <c r="B24" t="s">
        <v>61</v>
      </c>
      <c r="C24" t="s">
        <v>51</v>
      </c>
      <c r="D24" t="s">
        <v>65</v>
      </c>
      <c r="Q24">
        <f t="shared" si="0"/>
        <v>0</v>
      </c>
      <c r="R24">
        <f t="shared" si="1"/>
        <v>0</v>
      </c>
    </row>
    <row r="25" spans="1:18" x14ac:dyDescent="0.2">
      <c r="A25" t="s">
        <v>47</v>
      </c>
      <c r="B25" t="s">
        <v>61</v>
      </c>
      <c r="C25" t="s">
        <v>51</v>
      </c>
      <c r="D25" t="s">
        <v>64</v>
      </c>
      <c r="F25">
        <v>1</v>
      </c>
      <c r="Q25">
        <f t="shared" si="0"/>
        <v>0</v>
      </c>
      <c r="R25">
        <f t="shared" si="1"/>
        <v>1</v>
      </c>
    </row>
    <row r="26" spans="1:18" x14ac:dyDescent="0.2">
      <c r="A26" t="s">
        <v>47</v>
      </c>
      <c r="B26" t="s">
        <v>61</v>
      </c>
      <c r="C26" t="s">
        <v>62</v>
      </c>
      <c r="D26" t="s">
        <v>63</v>
      </c>
      <c r="F26">
        <v>0.2</v>
      </c>
      <c r="J26">
        <v>1</v>
      </c>
      <c r="Q26">
        <f t="shared" si="0"/>
        <v>0</v>
      </c>
      <c r="R26">
        <f t="shared" si="1"/>
        <v>1.2</v>
      </c>
    </row>
    <row r="27" spans="1:18" x14ac:dyDescent="0.2">
      <c r="A27" t="s">
        <v>47</v>
      </c>
      <c r="B27" t="s">
        <v>70</v>
      </c>
      <c r="C27" t="s">
        <v>92</v>
      </c>
      <c r="D27" t="s">
        <v>93</v>
      </c>
      <c r="Q27">
        <f t="shared" si="0"/>
        <v>0</v>
      </c>
      <c r="R27">
        <f t="shared" si="1"/>
        <v>0</v>
      </c>
    </row>
    <row r="28" spans="1:18" x14ac:dyDescent="0.2">
      <c r="A28" t="s">
        <v>47</v>
      </c>
      <c r="B28" t="s">
        <v>70</v>
      </c>
      <c r="C28" t="s">
        <v>72</v>
      </c>
      <c r="D28" t="s">
        <v>91</v>
      </c>
      <c r="Q28">
        <f t="shared" si="0"/>
        <v>0</v>
      </c>
      <c r="R28">
        <f t="shared" si="1"/>
        <v>0</v>
      </c>
    </row>
    <row r="29" spans="1:18" x14ac:dyDescent="0.2">
      <c r="A29" t="s">
        <v>47</v>
      </c>
      <c r="B29" t="s">
        <v>70</v>
      </c>
      <c r="C29" t="s">
        <v>72</v>
      </c>
      <c r="D29" t="s">
        <v>90</v>
      </c>
      <c r="Q29">
        <f t="shared" si="0"/>
        <v>0</v>
      </c>
      <c r="R29">
        <f t="shared" si="1"/>
        <v>0</v>
      </c>
    </row>
    <row r="30" spans="1:18" x14ac:dyDescent="0.2">
      <c r="A30" t="s">
        <v>47</v>
      </c>
      <c r="B30" t="s">
        <v>70</v>
      </c>
      <c r="C30" t="s">
        <v>72</v>
      </c>
      <c r="D30" t="s">
        <v>89</v>
      </c>
      <c r="Q30">
        <f t="shared" si="0"/>
        <v>0</v>
      </c>
      <c r="R30">
        <f t="shared" si="1"/>
        <v>0</v>
      </c>
    </row>
    <row r="31" spans="1:18" x14ac:dyDescent="0.2">
      <c r="A31" t="s">
        <v>47</v>
      </c>
      <c r="B31" t="s">
        <v>70</v>
      </c>
      <c r="C31" t="s">
        <v>72</v>
      </c>
      <c r="D31" t="s">
        <v>88</v>
      </c>
      <c r="Q31">
        <f t="shared" si="0"/>
        <v>0</v>
      </c>
      <c r="R31">
        <f t="shared" si="1"/>
        <v>0</v>
      </c>
    </row>
    <row r="32" spans="1:18" x14ac:dyDescent="0.2">
      <c r="A32" t="s">
        <v>47</v>
      </c>
      <c r="B32" t="s">
        <v>70</v>
      </c>
      <c r="C32" t="s">
        <v>80</v>
      </c>
      <c r="D32" t="s">
        <v>87</v>
      </c>
      <c r="F32">
        <v>1</v>
      </c>
      <c r="Q32">
        <f t="shared" si="0"/>
        <v>0</v>
      </c>
      <c r="R32">
        <f t="shared" si="1"/>
        <v>1</v>
      </c>
    </row>
    <row r="33" spans="1:18" x14ac:dyDescent="0.2">
      <c r="A33" t="s">
        <v>47</v>
      </c>
      <c r="B33" t="s">
        <v>70</v>
      </c>
      <c r="C33" t="s">
        <v>72</v>
      </c>
      <c r="D33" t="s">
        <v>86</v>
      </c>
      <c r="Q33">
        <f t="shared" si="0"/>
        <v>0</v>
      </c>
      <c r="R33">
        <f t="shared" si="1"/>
        <v>0</v>
      </c>
    </row>
    <row r="34" spans="1:18" x14ac:dyDescent="0.2">
      <c r="A34" t="s">
        <v>47</v>
      </c>
      <c r="B34" t="s">
        <v>70</v>
      </c>
      <c r="C34" t="s">
        <v>72</v>
      </c>
      <c r="D34" t="s">
        <v>85</v>
      </c>
      <c r="Q34">
        <f t="shared" si="0"/>
        <v>0</v>
      </c>
      <c r="R34">
        <f t="shared" si="1"/>
        <v>0</v>
      </c>
    </row>
    <row r="35" spans="1:18" x14ac:dyDescent="0.2">
      <c r="A35" t="s">
        <v>47</v>
      </c>
      <c r="B35" t="s">
        <v>70</v>
      </c>
      <c r="C35" t="s">
        <v>72</v>
      </c>
      <c r="D35" t="s">
        <v>84</v>
      </c>
      <c r="Q35">
        <f t="shared" si="0"/>
        <v>0</v>
      </c>
      <c r="R35">
        <f t="shared" si="1"/>
        <v>0</v>
      </c>
    </row>
    <row r="36" spans="1:18" x14ac:dyDescent="0.2">
      <c r="A36" t="s">
        <v>47</v>
      </c>
      <c r="B36" t="s">
        <v>70</v>
      </c>
      <c r="C36" t="s">
        <v>82</v>
      </c>
      <c r="D36" t="s">
        <v>83</v>
      </c>
      <c r="Q36">
        <f t="shared" si="0"/>
        <v>0</v>
      </c>
      <c r="R36">
        <f t="shared" si="1"/>
        <v>0</v>
      </c>
    </row>
    <row r="37" spans="1:18" x14ac:dyDescent="0.2">
      <c r="A37" t="s">
        <v>47</v>
      </c>
      <c r="B37" t="s">
        <v>70</v>
      </c>
      <c r="C37" t="s">
        <v>80</v>
      </c>
      <c r="D37" t="s">
        <v>81</v>
      </c>
      <c r="Q37">
        <f t="shared" si="0"/>
        <v>0</v>
      </c>
      <c r="R37">
        <f t="shared" si="1"/>
        <v>0</v>
      </c>
    </row>
    <row r="38" spans="1:18" x14ac:dyDescent="0.2">
      <c r="A38" t="s">
        <v>47</v>
      </c>
      <c r="B38" t="s">
        <v>70</v>
      </c>
      <c r="C38" t="s">
        <v>72</v>
      </c>
      <c r="D38" t="s">
        <v>79</v>
      </c>
      <c r="Q38">
        <f t="shared" si="0"/>
        <v>0</v>
      </c>
      <c r="R38">
        <f t="shared" si="1"/>
        <v>0</v>
      </c>
    </row>
    <row r="39" spans="1:18" x14ac:dyDescent="0.2">
      <c r="A39" t="s">
        <v>47</v>
      </c>
      <c r="B39" t="s">
        <v>70</v>
      </c>
      <c r="C39" t="s">
        <v>72</v>
      </c>
      <c r="D39" t="s">
        <v>78</v>
      </c>
      <c r="Q39">
        <f t="shared" si="0"/>
        <v>0</v>
      </c>
      <c r="R39">
        <f t="shared" si="1"/>
        <v>0</v>
      </c>
    </row>
    <row r="40" spans="1:18" x14ac:dyDescent="0.2">
      <c r="A40" t="s">
        <v>47</v>
      </c>
      <c r="B40" t="s">
        <v>70</v>
      </c>
      <c r="C40" t="s">
        <v>72</v>
      </c>
      <c r="D40" t="s">
        <v>77</v>
      </c>
      <c r="Q40">
        <f t="shared" si="0"/>
        <v>0</v>
      </c>
      <c r="R40">
        <f t="shared" si="1"/>
        <v>0</v>
      </c>
    </row>
    <row r="41" spans="1:18" x14ac:dyDescent="0.2">
      <c r="A41" t="s">
        <v>47</v>
      </c>
      <c r="B41" t="s">
        <v>70</v>
      </c>
      <c r="C41" t="s">
        <v>72</v>
      </c>
      <c r="D41" t="s">
        <v>76</v>
      </c>
      <c r="Q41">
        <f t="shared" si="0"/>
        <v>0</v>
      </c>
      <c r="R41">
        <f t="shared" si="1"/>
        <v>0</v>
      </c>
    </row>
    <row r="42" spans="1:18" x14ac:dyDescent="0.2">
      <c r="A42" t="s">
        <v>47</v>
      </c>
      <c r="B42" t="s">
        <v>70</v>
      </c>
      <c r="C42" t="s">
        <v>72</v>
      </c>
      <c r="D42" t="s">
        <v>75</v>
      </c>
      <c r="Q42">
        <f t="shared" si="0"/>
        <v>0</v>
      </c>
      <c r="R42">
        <f t="shared" si="1"/>
        <v>0</v>
      </c>
    </row>
    <row r="43" spans="1:18" x14ac:dyDescent="0.2">
      <c r="A43" t="s">
        <v>47</v>
      </c>
      <c r="B43" t="s">
        <v>70</v>
      </c>
      <c r="C43" t="s">
        <v>72</v>
      </c>
      <c r="D43" t="s">
        <v>74</v>
      </c>
      <c r="Q43">
        <f t="shared" si="0"/>
        <v>0</v>
      </c>
      <c r="R43">
        <f t="shared" si="1"/>
        <v>0</v>
      </c>
    </row>
    <row r="44" spans="1:18" x14ac:dyDescent="0.2">
      <c r="A44" t="s">
        <v>47</v>
      </c>
      <c r="B44" t="s">
        <v>70</v>
      </c>
      <c r="C44" t="s">
        <v>72</v>
      </c>
      <c r="D44" t="s">
        <v>73</v>
      </c>
      <c r="Q44">
        <f t="shared" si="0"/>
        <v>0</v>
      </c>
      <c r="R44">
        <f t="shared" si="1"/>
        <v>0</v>
      </c>
    </row>
    <row r="45" spans="1:18" x14ac:dyDescent="0.2">
      <c r="A45" t="s">
        <v>47</v>
      </c>
      <c r="B45" t="s">
        <v>70</v>
      </c>
      <c r="C45" t="s">
        <v>53</v>
      </c>
      <c r="D45" t="s">
        <v>71</v>
      </c>
      <c r="F45">
        <v>0.8</v>
      </c>
      <c r="Q45">
        <f t="shared" si="0"/>
        <v>0</v>
      </c>
      <c r="R45">
        <f t="shared" si="1"/>
        <v>0.8</v>
      </c>
    </row>
    <row r="46" spans="1:18" x14ac:dyDescent="0.2">
      <c r="A46" t="s">
        <v>94</v>
      </c>
      <c r="B46" t="s">
        <v>95</v>
      </c>
      <c r="C46" t="s">
        <v>112</v>
      </c>
      <c r="D46" t="s">
        <v>113</v>
      </c>
      <c r="Q46">
        <f t="shared" si="0"/>
        <v>0</v>
      </c>
      <c r="R46">
        <f t="shared" si="1"/>
        <v>0</v>
      </c>
    </row>
    <row r="47" spans="1:18" x14ac:dyDescent="0.2">
      <c r="A47" t="s">
        <v>94</v>
      </c>
      <c r="B47" t="s">
        <v>95</v>
      </c>
      <c r="C47" t="s">
        <v>107</v>
      </c>
      <c r="D47" t="s">
        <v>111</v>
      </c>
      <c r="H47" t="s">
        <v>566</v>
      </c>
    </row>
    <row r="48" spans="1:18" x14ac:dyDescent="0.2">
      <c r="A48" t="s">
        <v>94</v>
      </c>
      <c r="B48" t="s">
        <v>95</v>
      </c>
      <c r="C48" t="s">
        <v>109</v>
      </c>
      <c r="D48" t="s">
        <v>110</v>
      </c>
      <c r="Q48">
        <f>SUM(E48,G48,I48,K48,M48,O48)</f>
        <v>0</v>
      </c>
      <c r="R48">
        <f>SUM(F48,H48,J48,L48,N48,P48)</f>
        <v>0</v>
      </c>
    </row>
    <row r="49" spans="1:18" x14ac:dyDescent="0.2">
      <c r="A49" t="s">
        <v>94</v>
      </c>
      <c r="B49" t="s">
        <v>95</v>
      </c>
      <c r="C49" t="s">
        <v>107</v>
      </c>
      <c r="D49" t="s">
        <v>108</v>
      </c>
    </row>
    <row r="50" spans="1:18" x14ac:dyDescent="0.2">
      <c r="A50" t="s">
        <v>94</v>
      </c>
      <c r="B50" t="s">
        <v>95</v>
      </c>
      <c r="C50" t="s">
        <v>102</v>
      </c>
      <c r="D50" t="s">
        <v>106</v>
      </c>
      <c r="H50">
        <v>0.8</v>
      </c>
    </row>
    <row r="51" spans="1:18" x14ac:dyDescent="0.2">
      <c r="A51" t="s">
        <v>94</v>
      </c>
      <c r="B51" t="s">
        <v>95</v>
      </c>
      <c r="C51" t="s">
        <v>102</v>
      </c>
      <c r="D51" t="s">
        <v>550</v>
      </c>
      <c r="H51">
        <v>1.9</v>
      </c>
    </row>
    <row r="52" spans="1:18" x14ac:dyDescent="0.2">
      <c r="A52" t="s">
        <v>94</v>
      </c>
      <c r="B52" t="s">
        <v>95</v>
      </c>
      <c r="C52" t="s">
        <v>104</v>
      </c>
      <c r="D52" t="s">
        <v>105</v>
      </c>
      <c r="Q52">
        <f t="shared" ref="Q52:Q98" si="2">SUM(E52,G52,I52,K52,M52,O52)</f>
        <v>0</v>
      </c>
      <c r="R52">
        <f t="shared" ref="R52:R98" si="3">SUM(F52,H52,J52,L52,N52,P52)</f>
        <v>0</v>
      </c>
    </row>
    <row r="53" spans="1:18" x14ac:dyDescent="0.2">
      <c r="A53" t="s">
        <v>94</v>
      </c>
      <c r="B53" t="s">
        <v>95</v>
      </c>
      <c r="C53" t="s">
        <v>100</v>
      </c>
      <c r="D53" t="s">
        <v>101</v>
      </c>
      <c r="Q53">
        <f t="shared" si="2"/>
        <v>0</v>
      </c>
      <c r="R53">
        <f t="shared" si="3"/>
        <v>0</v>
      </c>
    </row>
    <row r="54" spans="1:18" x14ac:dyDescent="0.2">
      <c r="A54" t="s">
        <v>94</v>
      </c>
      <c r="B54" t="s">
        <v>95</v>
      </c>
      <c r="C54" t="s">
        <v>98</v>
      </c>
      <c r="D54" t="s">
        <v>99</v>
      </c>
      <c r="Q54">
        <f t="shared" si="2"/>
        <v>0</v>
      </c>
      <c r="R54">
        <f t="shared" si="3"/>
        <v>0</v>
      </c>
    </row>
    <row r="55" spans="1:18" x14ac:dyDescent="0.2">
      <c r="A55" t="s">
        <v>94</v>
      </c>
      <c r="B55" t="s">
        <v>95</v>
      </c>
      <c r="C55" t="s">
        <v>96</v>
      </c>
      <c r="D55" t="s">
        <v>97</v>
      </c>
      <c r="Q55">
        <f t="shared" si="2"/>
        <v>0</v>
      </c>
      <c r="R55">
        <f t="shared" si="3"/>
        <v>0</v>
      </c>
    </row>
    <row r="56" spans="1:18" x14ac:dyDescent="0.2">
      <c r="A56" t="s">
        <v>94</v>
      </c>
      <c r="B56" t="s">
        <v>40</v>
      </c>
      <c r="C56" t="s">
        <v>114</v>
      </c>
      <c r="D56" t="s">
        <v>115</v>
      </c>
      <c r="Q56">
        <f t="shared" si="2"/>
        <v>0</v>
      </c>
      <c r="R56">
        <f t="shared" si="3"/>
        <v>0</v>
      </c>
    </row>
    <row r="57" spans="1:18" x14ac:dyDescent="0.2">
      <c r="A57" t="s">
        <v>94</v>
      </c>
      <c r="B57" t="s">
        <v>116</v>
      </c>
      <c r="C57" t="s">
        <v>109</v>
      </c>
      <c r="D57" t="s">
        <v>117</v>
      </c>
      <c r="H57">
        <v>1.2</v>
      </c>
      <c r="Q57">
        <f t="shared" si="2"/>
        <v>0</v>
      </c>
      <c r="R57">
        <f t="shared" si="3"/>
        <v>1.2</v>
      </c>
    </row>
    <row r="58" spans="1:18" x14ac:dyDescent="0.2">
      <c r="A58" t="s">
        <v>94</v>
      </c>
      <c r="B58" t="s">
        <v>118</v>
      </c>
      <c r="C58" t="s">
        <v>119</v>
      </c>
      <c r="D58" t="s">
        <v>120</v>
      </c>
      <c r="Q58">
        <f t="shared" si="2"/>
        <v>0</v>
      </c>
      <c r="R58">
        <f t="shared" si="3"/>
        <v>0</v>
      </c>
    </row>
    <row r="59" spans="1:18" x14ac:dyDescent="0.2">
      <c r="A59" t="s">
        <v>121</v>
      </c>
      <c r="B59" t="s">
        <v>122</v>
      </c>
      <c r="C59" t="s">
        <v>135</v>
      </c>
      <c r="D59" t="s">
        <v>136</v>
      </c>
      <c r="Q59">
        <f t="shared" si="2"/>
        <v>0</v>
      </c>
      <c r="R59">
        <f t="shared" si="3"/>
        <v>0</v>
      </c>
    </row>
    <row r="60" spans="1:18" x14ac:dyDescent="0.2">
      <c r="A60" t="s">
        <v>121</v>
      </c>
      <c r="B60" t="s">
        <v>122</v>
      </c>
      <c r="C60" t="s">
        <v>133</v>
      </c>
      <c r="D60" t="s">
        <v>134</v>
      </c>
      <c r="Q60">
        <f t="shared" si="2"/>
        <v>0</v>
      </c>
      <c r="R60">
        <f t="shared" si="3"/>
        <v>0</v>
      </c>
    </row>
    <row r="61" spans="1:18" x14ac:dyDescent="0.2">
      <c r="A61" t="s">
        <v>121</v>
      </c>
      <c r="B61" t="s">
        <v>122</v>
      </c>
      <c r="C61" t="s">
        <v>131</v>
      </c>
      <c r="D61" t="s">
        <v>132</v>
      </c>
      <c r="Q61">
        <f t="shared" si="2"/>
        <v>0</v>
      </c>
      <c r="R61">
        <f t="shared" si="3"/>
        <v>0</v>
      </c>
    </row>
    <row r="62" spans="1:18" x14ac:dyDescent="0.2">
      <c r="A62" t="s">
        <v>121</v>
      </c>
      <c r="B62" t="s">
        <v>122</v>
      </c>
      <c r="C62" t="s">
        <v>129</v>
      </c>
      <c r="D62" t="s">
        <v>130</v>
      </c>
      <c r="Q62">
        <f t="shared" si="2"/>
        <v>0</v>
      </c>
      <c r="R62">
        <f t="shared" si="3"/>
        <v>0</v>
      </c>
    </row>
    <row r="63" spans="1:18" x14ac:dyDescent="0.2">
      <c r="A63" t="s">
        <v>121</v>
      </c>
      <c r="B63" t="s">
        <v>122</v>
      </c>
      <c r="C63" t="s">
        <v>127</v>
      </c>
      <c r="D63" t="s">
        <v>128</v>
      </c>
      <c r="Q63">
        <f t="shared" si="2"/>
        <v>0</v>
      </c>
      <c r="R63">
        <f t="shared" si="3"/>
        <v>0</v>
      </c>
    </row>
    <row r="64" spans="1:18" x14ac:dyDescent="0.2">
      <c r="A64" t="s">
        <v>121</v>
      </c>
      <c r="B64" t="s">
        <v>122</v>
      </c>
      <c r="C64" t="s">
        <v>551</v>
      </c>
      <c r="D64" t="s">
        <v>128</v>
      </c>
      <c r="Q64">
        <f t="shared" si="2"/>
        <v>0</v>
      </c>
      <c r="R64">
        <f t="shared" si="3"/>
        <v>0</v>
      </c>
    </row>
    <row r="65" spans="1:18" x14ac:dyDescent="0.2">
      <c r="A65" t="s">
        <v>121</v>
      </c>
      <c r="B65" t="s">
        <v>122</v>
      </c>
      <c r="C65" t="s">
        <v>125</v>
      </c>
      <c r="D65" t="s">
        <v>126</v>
      </c>
      <c r="Q65">
        <f t="shared" si="2"/>
        <v>0</v>
      </c>
      <c r="R65">
        <f t="shared" si="3"/>
        <v>0</v>
      </c>
    </row>
    <row r="66" spans="1:18" x14ac:dyDescent="0.2">
      <c r="A66" t="s">
        <v>121</v>
      </c>
      <c r="B66" t="s">
        <v>122</v>
      </c>
      <c r="C66" t="s">
        <v>123</v>
      </c>
      <c r="D66" t="s">
        <v>124</v>
      </c>
      <c r="Q66">
        <f t="shared" si="2"/>
        <v>0</v>
      </c>
      <c r="R66">
        <f t="shared" si="3"/>
        <v>0</v>
      </c>
    </row>
    <row r="67" spans="1:18" x14ac:dyDescent="0.2">
      <c r="A67" t="s">
        <v>121</v>
      </c>
      <c r="B67" t="s">
        <v>137</v>
      </c>
      <c r="C67" t="s">
        <v>140</v>
      </c>
      <c r="D67" t="s">
        <v>141</v>
      </c>
      <c r="Q67">
        <f t="shared" si="2"/>
        <v>0</v>
      </c>
      <c r="R67">
        <f t="shared" si="3"/>
        <v>0</v>
      </c>
    </row>
    <row r="68" spans="1:18" x14ac:dyDescent="0.2">
      <c r="A68" t="s">
        <v>121</v>
      </c>
      <c r="B68" t="s">
        <v>137</v>
      </c>
      <c r="C68" t="s">
        <v>138</v>
      </c>
      <c r="D68" t="s">
        <v>139</v>
      </c>
      <c r="Q68">
        <f t="shared" si="2"/>
        <v>0</v>
      </c>
      <c r="R68">
        <f t="shared" si="3"/>
        <v>0</v>
      </c>
    </row>
    <row r="69" spans="1:18" x14ac:dyDescent="0.2">
      <c r="A69" t="s">
        <v>142</v>
      </c>
      <c r="B69" t="s">
        <v>143</v>
      </c>
      <c r="C69" t="s">
        <v>144</v>
      </c>
      <c r="D69" t="s">
        <v>146</v>
      </c>
      <c r="H69">
        <v>5</v>
      </c>
      <c r="L69">
        <v>4.8</v>
      </c>
      <c r="Q69">
        <f t="shared" si="2"/>
        <v>0</v>
      </c>
      <c r="R69">
        <f t="shared" si="3"/>
        <v>9.8000000000000007</v>
      </c>
    </row>
    <row r="70" spans="1:18" x14ac:dyDescent="0.2">
      <c r="A70" t="s">
        <v>142</v>
      </c>
      <c r="B70" t="s">
        <v>143</v>
      </c>
      <c r="C70" t="s">
        <v>144</v>
      </c>
      <c r="D70" t="s">
        <v>145</v>
      </c>
      <c r="L70">
        <v>3.5</v>
      </c>
      <c r="Q70">
        <f t="shared" si="2"/>
        <v>0</v>
      </c>
      <c r="R70">
        <f t="shared" si="3"/>
        <v>3.5</v>
      </c>
    </row>
    <row r="71" spans="1:18" x14ac:dyDescent="0.2">
      <c r="A71" t="s">
        <v>142</v>
      </c>
      <c r="B71" t="s">
        <v>147</v>
      </c>
      <c r="C71" t="s">
        <v>150</v>
      </c>
      <c r="D71" t="s">
        <v>152</v>
      </c>
      <c r="Q71">
        <f t="shared" si="2"/>
        <v>0</v>
      </c>
      <c r="R71">
        <f t="shared" si="3"/>
        <v>0</v>
      </c>
    </row>
    <row r="72" spans="1:18" x14ac:dyDescent="0.2">
      <c r="A72" t="s">
        <v>142</v>
      </c>
      <c r="B72" t="s">
        <v>147</v>
      </c>
      <c r="C72" t="s">
        <v>150</v>
      </c>
      <c r="D72" t="s">
        <v>151</v>
      </c>
      <c r="H72">
        <v>5</v>
      </c>
      <c r="Q72">
        <f t="shared" si="2"/>
        <v>0</v>
      </c>
      <c r="R72">
        <f t="shared" si="3"/>
        <v>5</v>
      </c>
    </row>
    <row r="73" spans="1:18" x14ac:dyDescent="0.2">
      <c r="A73" t="s">
        <v>142</v>
      </c>
      <c r="B73" t="s">
        <v>147</v>
      </c>
      <c r="C73" t="s">
        <v>148</v>
      </c>
      <c r="D73" t="s">
        <v>149</v>
      </c>
      <c r="Q73">
        <f t="shared" si="2"/>
        <v>0</v>
      </c>
      <c r="R73">
        <f t="shared" si="3"/>
        <v>0</v>
      </c>
    </row>
    <row r="74" spans="1:18" x14ac:dyDescent="0.2">
      <c r="A74" t="s">
        <v>142</v>
      </c>
      <c r="B74" t="s">
        <v>153</v>
      </c>
      <c r="C74" t="s">
        <v>154</v>
      </c>
      <c r="D74" t="s">
        <v>155</v>
      </c>
      <c r="Q74">
        <f t="shared" si="2"/>
        <v>0</v>
      </c>
      <c r="R74">
        <f t="shared" si="3"/>
        <v>0</v>
      </c>
    </row>
    <row r="75" spans="1:18" x14ac:dyDescent="0.2">
      <c r="A75" t="s">
        <v>142</v>
      </c>
      <c r="B75" t="s">
        <v>156</v>
      </c>
      <c r="C75" t="s">
        <v>161</v>
      </c>
      <c r="D75" t="s">
        <v>173</v>
      </c>
      <c r="N75">
        <v>0.6</v>
      </c>
      <c r="Q75">
        <f t="shared" si="2"/>
        <v>0</v>
      </c>
      <c r="R75">
        <f t="shared" si="3"/>
        <v>0.6</v>
      </c>
    </row>
    <row r="76" spans="1:18" x14ac:dyDescent="0.2">
      <c r="A76" t="s">
        <v>142</v>
      </c>
      <c r="B76" t="s">
        <v>156</v>
      </c>
      <c r="C76" t="s">
        <v>168</v>
      </c>
      <c r="D76" t="s">
        <v>172</v>
      </c>
      <c r="Q76">
        <f t="shared" si="2"/>
        <v>0</v>
      </c>
      <c r="R76">
        <f t="shared" si="3"/>
        <v>0</v>
      </c>
    </row>
    <row r="77" spans="1:18" x14ac:dyDescent="0.2">
      <c r="A77" t="s">
        <v>142</v>
      </c>
      <c r="B77" t="s">
        <v>156</v>
      </c>
      <c r="C77" t="s">
        <v>170</v>
      </c>
      <c r="D77" t="s">
        <v>171</v>
      </c>
      <c r="Q77">
        <f t="shared" si="2"/>
        <v>0</v>
      </c>
      <c r="R77">
        <f t="shared" si="3"/>
        <v>0</v>
      </c>
    </row>
    <row r="78" spans="1:18" x14ac:dyDescent="0.2">
      <c r="A78" t="s">
        <v>142</v>
      </c>
      <c r="B78" t="s">
        <v>156</v>
      </c>
      <c r="C78" t="s">
        <v>168</v>
      </c>
      <c r="D78" t="s">
        <v>169</v>
      </c>
      <c r="Q78">
        <f t="shared" si="2"/>
        <v>0</v>
      </c>
      <c r="R78">
        <f t="shared" si="3"/>
        <v>0</v>
      </c>
    </row>
    <row r="79" spans="1:18" x14ac:dyDescent="0.2">
      <c r="A79" t="s">
        <v>142</v>
      </c>
      <c r="B79" t="s">
        <v>156</v>
      </c>
      <c r="C79" t="s">
        <v>157</v>
      </c>
      <c r="D79" t="s">
        <v>167</v>
      </c>
      <c r="Q79">
        <f t="shared" si="2"/>
        <v>0</v>
      </c>
      <c r="R79">
        <f t="shared" si="3"/>
        <v>0</v>
      </c>
    </row>
    <row r="80" spans="1:18" x14ac:dyDescent="0.2">
      <c r="A80" t="s">
        <v>142</v>
      </c>
      <c r="B80" t="s">
        <v>156</v>
      </c>
      <c r="C80" t="s">
        <v>157</v>
      </c>
      <c r="D80" t="s">
        <v>166</v>
      </c>
      <c r="Q80">
        <f t="shared" si="2"/>
        <v>0</v>
      </c>
      <c r="R80">
        <f t="shared" si="3"/>
        <v>0</v>
      </c>
    </row>
    <row r="81" spans="1:18" x14ac:dyDescent="0.2">
      <c r="A81" t="s">
        <v>142</v>
      </c>
      <c r="B81" t="s">
        <v>156</v>
      </c>
      <c r="C81" t="s">
        <v>157</v>
      </c>
      <c r="D81" t="s">
        <v>165</v>
      </c>
      <c r="Q81">
        <f t="shared" si="2"/>
        <v>0</v>
      </c>
      <c r="R81">
        <f t="shared" si="3"/>
        <v>0</v>
      </c>
    </row>
    <row r="82" spans="1:18" x14ac:dyDescent="0.2">
      <c r="A82" t="s">
        <v>142</v>
      </c>
      <c r="B82" t="s">
        <v>156</v>
      </c>
      <c r="C82" t="s">
        <v>157</v>
      </c>
      <c r="D82" t="s">
        <v>164</v>
      </c>
      <c r="Q82">
        <f t="shared" si="2"/>
        <v>0</v>
      </c>
      <c r="R82">
        <f t="shared" si="3"/>
        <v>0</v>
      </c>
    </row>
    <row r="83" spans="1:18" x14ac:dyDescent="0.2">
      <c r="A83" t="s">
        <v>142</v>
      </c>
      <c r="B83" t="s">
        <v>156</v>
      </c>
      <c r="C83" t="s">
        <v>157</v>
      </c>
      <c r="D83" t="s">
        <v>163</v>
      </c>
      <c r="Q83">
        <f t="shared" si="2"/>
        <v>0</v>
      </c>
      <c r="R83">
        <f t="shared" si="3"/>
        <v>0</v>
      </c>
    </row>
    <row r="84" spans="1:18" x14ac:dyDescent="0.2">
      <c r="A84" t="s">
        <v>142</v>
      </c>
      <c r="B84" t="s">
        <v>156</v>
      </c>
      <c r="C84" t="s">
        <v>161</v>
      </c>
      <c r="D84" t="s">
        <v>162</v>
      </c>
      <c r="Q84">
        <f t="shared" si="2"/>
        <v>0</v>
      </c>
      <c r="R84">
        <f t="shared" si="3"/>
        <v>0</v>
      </c>
    </row>
    <row r="85" spans="1:18" x14ac:dyDescent="0.2">
      <c r="A85" t="s">
        <v>142</v>
      </c>
      <c r="B85" t="s">
        <v>156</v>
      </c>
      <c r="C85" t="s">
        <v>159</v>
      </c>
      <c r="D85" t="s">
        <v>160</v>
      </c>
      <c r="Q85">
        <f t="shared" si="2"/>
        <v>0</v>
      </c>
      <c r="R85">
        <f t="shared" si="3"/>
        <v>0</v>
      </c>
    </row>
    <row r="86" spans="1:18" x14ac:dyDescent="0.2">
      <c r="A86" t="s">
        <v>142</v>
      </c>
      <c r="B86" t="s">
        <v>156</v>
      </c>
      <c r="C86" t="s">
        <v>157</v>
      </c>
      <c r="D86" t="s">
        <v>158</v>
      </c>
      <c r="Q86">
        <f t="shared" si="2"/>
        <v>0</v>
      </c>
      <c r="R86">
        <f t="shared" si="3"/>
        <v>0</v>
      </c>
    </row>
    <row r="87" spans="1:18" x14ac:dyDescent="0.2">
      <c r="A87" t="s">
        <v>142</v>
      </c>
      <c r="B87" t="s">
        <v>156</v>
      </c>
      <c r="C87" t="s">
        <v>159</v>
      </c>
      <c r="D87" t="s">
        <v>552</v>
      </c>
      <c r="Q87">
        <f t="shared" si="2"/>
        <v>0</v>
      </c>
      <c r="R87">
        <f t="shared" si="3"/>
        <v>0</v>
      </c>
    </row>
    <row r="88" spans="1:18" x14ac:dyDescent="0.2">
      <c r="A88" t="s">
        <v>174</v>
      </c>
      <c r="B88" t="s">
        <v>175</v>
      </c>
      <c r="C88" t="s">
        <v>56</v>
      </c>
      <c r="D88" t="s">
        <v>176</v>
      </c>
      <c r="F88">
        <v>4</v>
      </c>
      <c r="Q88">
        <f t="shared" si="2"/>
        <v>0</v>
      </c>
      <c r="R88">
        <f t="shared" si="3"/>
        <v>4</v>
      </c>
    </row>
    <row r="89" spans="1:18" x14ac:dyDescent="0.2">
      <c r="A89" t="s">
        <v>174</v>
      </c>
      <c r="B89" t="s">
        <v>177</v>
      </c>
      <c r="C89" t="s">
        <v>178</v>
      </c>
      <c r="D89" t="s">
        <v>179</v>
      </c>
      <c r="F89">
        <v>1</v>
      </c>
      <c r="Q89">
        <f t="shared" si="2"/>
        <v>0</v>
      </c>
      <c r="R89">
        <f t="shared" si="3"/>
        <v>1</v>
      </c>
    </row>
    <row r="90" spans="1:18" x14ac:dyDescent="0.2">
      <c r="A90" t="s">
        <v>180</v>
      </c>
      <c r="B90" t="s">
        <v>181</v>
      </c>
      <c r="C90" t="s">
        <v>182</v>
      </c>
      <c r="D90" t="s">
        <v>186</v>
      </c>
      <c r="Q90">
        <f t="shared" si="2"/>
        <v>0</v>
      </c>
      <c r="R90">
        <f t="shared" si="3"/>
        <v>0</v>
      </c>
    </row>
    <row r="91" spans="1:18" x14ac:dyDescent="0.2">
      <c r="A91" t="s">
        <v>180</v>
      </c>
      <c r="B91" t="s">
        <v>181</v>
      </c>
      <c r="C91" t="s">
        <v>184</v>
      </c>
      <c r="D91" t="s">
        <v>185</v>
      </c>
      <c r="L91">
        <v>17</v>
      </c>
      <c r="Q91">
        <f t="shared" si="2"/>
        <v>0</v>
      </c>
      <c r="R91">
        <f t="shared" si="3"/>
        <v>17</v>
      </c>
    </row>
    <row r="92" spans="1:18" x14ac:dyDescent="0.2">
      <c r="A92" t="s">
        <v>180</v>
      </c>
      <c r="B92" t="s">
        <v>181</v>
      </c>
      <c r="C92" t="s">
        <v>182</v>
      </c>
      <c r="D92" t="s">
        <v>183</v>
      </c>
      <c r="Q92">
        <f t="shared" si="2"/>
        <v>0</v>
      </c>
      <c r="R92">
        <f t="shared" si="3"/>
        <v>0</v>
      </c>
    </row>
    <row r="93" spans="1:18" x14ac:dyDescent="0.2">
      <c r="A93" t="s">
        <v>180</v>
      </c>
      <c r="B93" t="s">
        <v>187</v>
      </c>
      <c r="C93" t="s">
        <v>51</v>
      </c>
      <c r="D93" t="s">
        <v>553</v>
      </c>
      <c r="N93">
        <v>1</v>
      </c>
      <c r="Q93">
        <f t="shared" si="2"/>
        <v>0</v>
      </c>
      <c r="R93">
        <f t="shared" si="3"/>
        <v>1</v>
      </c>
    </row>
    <row r="94" spans="1:18" x14ac:dyDescent="0.2">
      <c r="A94" t="s">
        <v>180</v>
      </c>
      <c r="B94" t="s">
        <v>187</v>
      </c>
      <c r="C94" t="s">
        <v>51</v>
      </c>
      <c r="D94" t="s">
        <v>192</v>
      </c>
      <c r="Q94">
        <f t="shared" si="2"/>
        <v>0</v>
      </c>
      <c r="R94">
        <f t="shared" si="3"/>
        <v>0</v>
      </c>
    </row>
    <row r="95" spans="1:18" x14ac:dyDescent="0.2">
      <c r="A95" t="s">
        <v>180</v>
      </c>
      <c r="B95" t="s">
        <v>187</v>
      </c>
      <c r="C95" t="s">
        <v>190</v>
      </c>
      <c r="D95" t="s">
        <v>191</v>
      </c>
      <c r="Q95">
        <f t="shared" si="2"/>
        <v>0</v>
      </c>
      <c r="R95">
        <f t="shared" si="3"/>
        <v>0</v>
      </c>
    </row>
    <row r="96" spans="1:18" x14ac:dyDescent="0.2">
      <c r="A96" t="s">
        <v>180</v>
      </c>
      <c r="B96" t="s">
        <v>187</v>
      </c>
      <c r="C96" t="s">
        <v>188</v>
      </c>
      <c r="D96" t="s">
        <v>189</v>
      </c>
      <c r="Q96">
        <f t="shared" si="2"/>
        <v>0</v>
      </c>
      <c r="R96">
        <f t="shared" si="3"/>
        <v>0</v>
      </c>
    </row>
    <row r="97" spans="1:18" x14ac:dyDescent="0.2">
      <c r="A97" t="s">
        <v>193</v>
      </c>
      <c r="B97" t="s">
        <v>194</v>
      </c>
      <c r="C97" t="s">
        <v>195</v>
      </c>
      <c r="D97" t="s">
        <v>196</v>
      </c>
      <c r="Q97">
        <f t="shared" si="2"/>
        <v>0</v>
      </c>
      <c r="R97">
        <f t="shared" si="3"/>
        <v>0</v>
      </c>
    </row>
    <row r="98" spans="1:18" x14ac:dyDescent="0.2">
      <c r="A98" t="s">
        <v>193</v>
      </c>
      <c r="B98" t="s">
        <v>194</v>
      </c>
      <c r="C98" t="s">
        <v>197</v>
      </c>
      <c r="D98" t="s">
        <v>198</v>
      </c>
      <c r="N98">
        <v>35</v>
      </c>
      <c r="O98">
        <v>1</v>
      </c>
      <c r="P98">
        <v>7</v>
      </c>
      <c r="Q98">
        <f t="shared" si="2"/>
        <v>1</v>
      </c>
      <c r="R98">
        <f t="shared" si="3"/>
        <v>42</v>
      </c>
    </row>
    <row r="99" spans="1:18" x14ac:dyDescent="0.2">
      <c r="A99" t="s">
        <v>193</v>
      </c>
      <c r="B99" t="s">
        <v>194</v>
      </c>
      <c r="C99" t="s">
        <v>197</v>
      </c>
      <c r="D99" t="s">
        <v>203</v>
      </c>
      <c r="N99">
        <v>10</v>
      </c>
    </row>
    <row r="100" spans="1:18" x14ac:dyDescent="0.2">
      <c r="A100" t="s">
        <v>193</v>
      </c>
      <c r="B100" t="s">
        <v>194</v>
      </c>
      <c r="C100" t="s">
        <v>25</v>
      </c>
      <c r="D100" t="s">
        <v>199</v>
      </c>
      <c r="F100">
        <v>33</v>
      </c>
      <c r="Q100">
        <f t="shared" ref="Q100:Q121" si="4">SUM(E100,G100,I100,K100,M100,O100)</f>
        <v>0</v>
      </c>
      <c r="R100">
        <f t="shared" ref="R100:R121" si="5">SUM(F100,H100,J100,L100,N100,P100)</f>
        <v>33</v>
      </c>
    </row>
    <row r="101" spans="1:18" x14ac:dyDescent="0.2">
      <c r="A101" t="s">
        <v>193</v>
      </c>
      <c r="B101" t="s">
        <v>194</v>
      </c>
      <c r="C101" t="s">
        <v>195</v>
      </c>
      <c r="D101" t="s">
        <v>200</v>
      </c>
      <c r="F101">
        <v>33</v>
      </c>
      <c r="G101">
        <v>1</v>
      </c>
      <c r="H101">
        <v>6</v>
      </c>
      <c r="Q101">
        <f t="shared" si="4"/>
        <v>1</v>
      </c>
      <c r="R101">
        <f t="shared" si="5"/>
        <v>39</v>
      </c>
    </row>
    <row r="102" spans="1:18" x14ac:dyDescent="0.2">
      <c r="A102" t="s">
        <v>193</v>
      </c>
      <c r="B102" t="s">
        <v>194</v>
      </c>
      <c r="C102" t="s">
        <v>25</v>
      </c>
      <c r="D102" t="s">
        <v>201</v>
      </c>
      <c r="Q102">
        <f t="shared" si="4"/>
        <v>0</v>
      </c>
      <c r="R102">
        <f t="shared" si="5"/>
        <v>0</v>
      </c>
    </row>
    <row r="103" spans="1:18" x14ac:dyDescent="0.2">
      <c r="A103" t="s">
        <v>193</v>
      </c>
      <c r="B103" t="s">
        <v>194</v>
      </c>
      <c r="C103" t="s">
        <v>197</v>
      </c>
      <c r="D103" t="s">
        <v>202</v>
      </c>
      <c r="F103">
        <v>24</v>
      </c>
      <c r="G103">
        <v>2</v>
      </c>
      <c r="Q103">
        <f t="shared" si="4"/>
        <v>2</v>
      </c>
      <c r="R103">
        <f t="shared" si="5"/>
        <v>24</v>
      </c>
    </row>
    <row r="104" spans="1:18" x14ac:dyDescent="0.2">
      <c r="A104" t="s">
        <v>193</v>
      </c>
      <c r="B104" t="s">
        <v>194</v>
      </c>
      <c r="C104" t="s">
        <v>204</v>
      </c>
      <c r="D104" t="s">
        <v>205</v>
      </c>
      <c r="Q104">
        <f t="shared" si="4"/>
        <v>0</v>
      </c>
      <c r="R104">
        <f t="shared" si="5"/>
        <v>0</v>
      </c>
    </row>
    <row r="105" spans="1:18" x14ac:dyDescent="0.2">
      <c r="A105" t="s">
        <v>193</v>
      </c>
      <c r="B105" t="s">
        <v>194</v>
      </c>
      <c r="C105" t="s">
        <v>195</v>
      </c>
      <c r="D105" t="s">
        <v>206</v>
      </c>
      <c r="Q105">
        <f t="shared" si="4"/>
        <v>0</v>
      </c>
      <c r="R105">
        <f t="shared" si="5"/>
        <v>0</v>
      </c>
    </row>
    <row r="106" spans="1:18" x14ac:dyDescent="0.2">
      <c r="A106" t="s">
        <v>193</v>
      </c>
      <c r="B106" t="s">
        <v>194</v>
      </c>
      <c r="C106" t="s">
        <v>195</v>
      </c>
      <c r="D106" t="s">
        <v>207</v>
      </c>
      <c r="Q106">
        <f t="shared" si="4"/>
        <v>0</v>
      </c>
      <c r="R106">
        <f t="shared" si="5"/>
        <v>0</v>
      </c>
    </row>
    <row r="107" spans="1:18" x14ac:dyDescent="0.2">
      <c r="A107" t="s">
        <v>193</v>
      </c>
      <c r="B107" t="s">
        <v>194</v>
      </c>
      <c r="C107" t="s">
        <v>195</v>
      </c>
      <c r="D107" t="s">
        <v>208</v>
      </c>
      <c r="Q107">
        <f t="shared" si="4"/>
        <v>0</v>
      </c>
      <c r="R107">
        <f t="shared" si="5"/>
        <v>0</v>
      </c>
    </row>
    <row r="108" spans="1:18" x14ac:dyDescent="0.2">
      <c r="A108" t="s">
        <v>193</v>
      </c>
      <c r="B108" t="s">
        <v>194</v>
      </c>
      <c r="C108" t="s">
        <v>195</v>
      </c>
      <c r="D108" t="s">
        <v>209</v>
      </c>
      <c r="F108">
        <v>7</v>
      </c>
      <c r="Q108">
        <f t="shared" si="4"/>
        <v>0</v>
      </c>
      <c r="R108">
        <f t="shared" si="5"/>
        <v>7</v>
      </c>
    </row>
    <row r="109" spans="1:18" x14ac:dyDescent="0.2">
      <c r="A109" t="s">
        <v>193</v>
      </c>
      <c r="B109" t="s">
        <v>194</v>
      </c>
      <c r="C109" t="s">
        <v>204</v>
      </c>
      <c r="D109" t="s">
        <v>210</v>
      </c>
      <c r="Q109">
        <f t="shared" si="4"/>
        <v>0</v>
      </c>
      <c r="R109">
        <f t="shared" si="5"/>
        <v>0</v>
      </c>
    </row>
    <row r="110" spans="1:18" x14ac:dyDescent="0.2">
      <c r="A110" t="s">
        <v>193</v>
      </c>
      <c r="B110" t="s">
        <v>194</v>
      </c>
      <c r="C110" t="s">
        <v>195</v>
      </c>
      <c r="D110" t="s">
        <v>211</v>
      </c>
      <c r="Q110">
        <f t="shared" si="4"/>
        <v>0</v>
      </c>
      <c r="R110">
        <f t="shared" si="5"/>
        <v>0</v>
      </c>
    </row>
    <row r="111" spans="1:18" x14ac:dyDescent="0.2">
      <c r="A111" t="s">
        <v>193</v>
      </c>
      <c r="B111" t="s">
        <v>194</v>
      </c>
      <c r="C111" t="s">
        <v>195</v>
      </c>
      <c r="D111" t="s">
        <v>212</v>
      </c>
      <c r="G111">
        <v>3</v>
      </c>
      <c r="Q111">
        <f t="shared" si="4"/>
        <v>3</v>
      </c>
      <c r="R111">
        <f t="shared" si="5"/>
        <v>0</v>
      </c>
    </row>
    <row r="112" spans="1:18" x14ac:dyDescent="0.2">
      <c r="A112" t="s">
        <v>193</v>
      </c>
      <c r="B112" t="s">
        <v>194</v>
      </c>
      <c r="C112" t="s">
        <v>195</v>
      </c>
      <c r="D112" t="s">
        <v>213</v>
      </c>
      <c r="F112">
        <v>1</v>
      </c>
      <c r="Q112">
        <f t="shared" si="4"/>
        <v>0</v>
      </c>
      <c r="R112">
        <f t="shared" si="5"/>
        <v>1</v>
      </c>
    </row>
    <row r="113" spans="1:18" x14ac:dyDescent="0.2">
      <c r="A113" t="s">
        <v>193</v>
      </c>
      <c r="B113" t="s">
        <v>194</v>
      </c>
      <c r="C113" t="s">
        <v>214</v>
      </c>
      <c r="D113" t="s">
        <v>215</v>
      </c>
      <c r="F113">
        <v>15</v>
      </c>
      <c r="G113">
        <v>4</v>
      </c>
      <c r="H113">
        <v>8</v>
      </c>
      <c r="Q113">
        <f t="shared" si="4"/>
        <v>4</v>
      </c>
      <c r="R113">
        <f t="shared" si="5"/>
        <v>23</v>
      </c>
    </row>
    <row r="114" spans="1:18" x14ac:dyDescent="0.2">
      <c r="A114" t="s">
        <v>193</v>
      </c>
      <c r="B114" t="s">
        <v>194</v>
      </c>
      <c r="C114" t="s">
        <v>204</v>
      </c>
      <c r="D114" t="s">
        <v>216</v>
      </c>
      <c r="F114">
        <v>2</v>
      </c>
      <c r="Q114">
        <f t="shared" si="4"/>
        <v>0</v>
      </c>
      <c r="R114">
        <f t="shared" si="5"/>
        <v>2</v>
      </c>
    </row>
    <row r="115" spans="1:18" x14ac:dyDescent="0.2">
      <c r="A115" t="s">
        <v>193</v>
      </c>
      <c r="B115" t="s">
        <v>194</v>
      </c>
      <c r="C115" t="s">
        <v>204</v>
      </c>
      <c r="D115" t="s">
        <v>217</v>
      </c>
      <c r="F115">
        <v>1</v>
      </c>
      <c r="Q115">
        <f t="shared" si="4"/>
        <v>0</v>
      </c>
      <c r="R115">
        <f t="shared" si="5"/>
        <v>1</v>
      </c>
    </row>
    <row r="116" spans="1:18" x14ac:dyDescent="0.2">
      <c r="A116" t="s">
        <v>193</v>
      </c>
      <c r="B116" t="s">
        <v>194</v>
      </c>
      <c r="C116" t="s">
        <v>195</v>
      </c>
      <c r="D116" t="s">
        <v>220</v>
      </c>
      <c r="F116">
        <v>1</v>
      </c>
      <c r="Q116">
        <f t="shared" si="4"/>
        <v>0</v>
      </c>
      <c r="R116">
        <f t="shared" si="5"/>
        <v>1</v>
      </c>
    </row>
    <row r="117" spans="1:18" x14ac:dyDescent="0.2">
      <c r="A117" t="s">
        <v>193</v>
      </c>
      <c r="B117" t="s">
        <v>194</v>
      </c>
      <c r="C117" t="s">
        <v>195</v>
      </c>
      <c r="D117" t="s">
        <v>221</v>
      </c>
      <c r="Q117">
        <f t="shared" si="4"/>
        <v>0</v>
      </c>
      <c r="R117">
        <f t="shared" si="5"/>
        <v>0</v>
      </c>
    </row>
    <row r="118" spans="1:18" x14ac:dyDescent="0.2">
      <c r="A118" t="s">
        <v>193</v>
      </c>
      <c r="B118" t="s">
        <v>194</v>
      </c>
      <c r="C118" t="s">
        <v>195</v>
      </c>
      <c r="D118" t="s">
        <v>554</v>
      </c>
      <c r="F118">
        <v>22</v>
      </c>
      <c r="G118">
        <v>2</v>
      </c>
      <c r="Q118">
        <f t="shared" si="4"/>
        <v>2</v>
      </c>
      <c r="R118">
        <f t="shared" si="5"/>
        <v>22</v>
      </c>
    </row>
    <row r="119" spans="1:18" x14ac:dyDescent="0.2">
      <c r="A119" t="s">
        <v>193</v>
      </c>
      <c r="B119" t="s">
        <v>194</v>
      </c>
      <c r="C119" t="s">
        <v>25</v>
      </c>
      <c r="D119" t="s">
        <v>224</v>
      </c>
      <c r="N119">
        <v>35</v>
      </c>
      <c r="O119">
        <v>3</v>
      </c>
      <c r="Q119">
        <f t="shared" si="4"/>
        <v>3</v>
      </c>
      <c r="R119">
        <f t="shared" si="5"/>
        <v>35</v>
      </c>
    </row>
    <row r="120" spans="1:18" x14ac:dyDescent="0.2">
      <c r="A120" t="s">
        <v>193</v>
      </c>
      <c r="B120" t="s">
        <v>194</v>
      </c>
      <c r="C120" t="s">
        <v>197</v>
      </c>
      <c r="D120" t="s">
        <v>225</v>
      </c>
      <c r="N120">
        <v>35</v>
      </c>
      <c r="Q120">
        <f t="shared" si="4"/>
        <v>0</v>
      </c>
      <c r="R120">
        <f t="shared" si="5"/>
        <v>35</v>
      </c>
    </row>
    <row r="121" spans="1:18" x14ac:dyDescent="0.2">
      <c r="A121" t="s">
        <v>193</v>
      </c>
      <c r="B121" t="s">
        <v>194</v>
      </c>
      <c r="C121" t="s">
        <v>197</v>
      </c>
      <c r="D121" t="s">
        <v>226</v>
      </c>
      <c r="Q121">
        <f t="shared" si="4"/>
        <v>0</v>
      </c>
      <c r="R121">
        <f t="shared" si="5"/>
        <v>0</v>
      </c>
    </row>
    <row r="122" spans="1:18" x14ac:dyDescent="0.2">
      <c r="A122" t="s">
        <v>193</v>
      </c>
      <c r="B122" t="s">
        <v>194</v>
      </c>
      <c r="C122" t="s">
        <v>222</v>
      </c>
      <c r="D122" t="s">
        <v>223</v>
      </c>
    </row>
    <row r="123" spans="1:18" x14ac:dyDescent="0.2">
      <c r="A123" t="s">
        <v>193</v>
      </c>
      <c r="B123" t="s">
        <v>48</v>
      </c>
      <c r="C123" t="s">
        <v>51</v>
      </c>
      <c r="D123" t="s">
        <v>227</v>
      </c>
      <c r="Q123">
        <f t="shared" ref="Q123:Q154" si="6">SUM(E123,G123,I123,K123,M123,O123)</f>
        <v>0</v>
      </c>
      <c r="R123">
        <f t="shared" ref="R123:R154" si="7">SUM(F123,H123,J123,L123,N123,P123)</f>
        <v>0</v>
      </c>
    </row>
    <row r="124" spans="1:18" x14ac:dyDescent="0.2">
      <c r="A124" t="s">
        <v>193</v>
      </c>
      <c r="B124" t="s">
        <v>228</v>
      </c>
      <c r="C124" t="s">
        <v>56</v>
      </c>
      <c r="D124" t="s">
        <v>229</v>
      </c>
      <c r="Q124">
        <f t="shared" si="6"/>
        <v>0</v>
      </c>
      <c r="R124">
        <f t="shared" si="7"/>
        <v>0</v>
      </c>
    </row>
    <row r="125" spans="1:18" x14ac:dyDescent="0.2">
      <c r="A125" t="s">
        <v>193</v>
      </c>
      <c r="B125" t="s">
        <v>230</v>
      </c>
      <c r="C125" t="s">
        <v>231</v>
      </c>
      <c r="D125" t="s">
        <v>232</v>
      </c>
      <c r="Q125">
        <f t="shared" si="6"/>
        <v>0</v>
      </c>
      <c r="R125">
        <f t="shared" si="7"/>
        <v>0</v>
      </c>
    </row>
    <row r="126" spans="1:18" x14ac:dyDescent="0.2">
      <c r="A126" t="s">
        <v>193</v>
      </c>
      <c r="B126" t="s">
        <v>233</v>
      </c>
      <c r="C126" t="s">
        <v>231</v>
      </c>
      <c r="D126" t="s">
        <v>234</v>
      </c>
      <c r="Q126">
        <f t="shared" si="6"/>
        <v>0</v>
      </c>
      <c r="R126">
        <f t="shared" si="7"/>
        <v>0</v>
      </c>
    </row>
    <row r="127" spans="1:18" x14ac:dyDescent="0.2">
      <c r="A127" t="s">
        <v>193</v>
      </c>
      <c r="B127" t="s">
        <v>233</v>
      </c>
      <c r="C127" t="s">
        <v>190</v>
      </c>
      <c r="D127" t="s">
        <v>235</v>
      </c>
      <c r="Q127">
        <f t="shared" si="6"/>
        <v>0</v>
      </c>
      <c r="R127">
        <f t="shared" si="7"/>
        <v>0</v>
      </c>
    </row>
    <row r="128" spans="1:18" x14ac:dyDescent="0.2">
      <c r="A128" t="s">
        <v>193</v>
      </c>
      <c r="B128" t="s">
        <v>233</v>
      </c>
      <c r="C128" t="s">
        <v>190</v>
      </c>
      <c r="D128" t="s">
        <v>236</v>
      </c>
      <c r="Q128">
        <f t="shared" si="6"/>
        <v>0</v>
      </c>
      <c r="R128">
        <f t="shared" si="7"/>
        <v>0</v>
      </c>
    </row>
    <row r="129" spans="1:18" x14ac:dyDescent="0.2">
      <c r="A129" t="s">
        <v>193</v>
      </c>
      <c r="B129" t="s">
        <v>233</v>
      </c>
      <c r="C129" t="s">
        <v>190</v>
      </c>
      <c r="D129" t="s">
        <v>237</v>
      </c>
      <c r="Q129">
        <f t="shared" si="6"/>
        <v>0</v>
      </c>
      <c r="R129">
        <f t="shared" si="7"/>
        <v>0</v>
      </c>
    </row>
    <row r="130" spans="1:18" x14ac:dyDescent="0.2">
      <c r="A130" t="s">
        <v>193</v>
      </c>
      <c r="B130" t="s">
        <v>233</v>
      </c>
      <c r="C130" t="s">
        <v>190</v>
      </c>
      <c r="D130" t="s">
        <v>238</v>
      </c>
      <c r="Q130">
        <f t="shared" si="6"/>
        <v>0</v>
      </c>
      <c r="R130">
        <f t="shared" si="7"/>
        <v>0</v>
      </c>
    </row>
    <row r="131" spans="1:18" x14ac:dyDescent="0.2">
      <c r="A131" t="s">
        <v>193</v>
      </c>
      <c r="B131" t="s">
        <v>233</v>
      </c>
      <c r="C131" t="s">
        <v>190</v>
      </c>
      <c r="D131" t="s">
        <v>555</v>
      </c>
      <c r="Q131">
        <f t="shared" si="6"/>
        <v>0</v>
      </c>
      <c r="R131">
        <f t="shared" si="7"/>
        <v>0</v>
      </c>
    </row>
    <row r="132" spans="1:18" x14ac:dyDescent="0.2">
      <c r="A132" t="s">
        <v>193</v>
      </c>
      <c r="B132" t="s">
        <v>233</v>
      </c>
      <c r="C132" t="s">
        <v>240</v>
      </c>
      <c r="D132" t="s">
        <v>556</v>
      </c>
      <c r="Q132">
        <f t="shared" si="6"/>
        <v>0</v>
      </c>
      <c r="R132">
        <f t="shared" si="7"/>
        <v>0</v>
      </c>
    </row>
    <row r="133" spans="1:18" x14ac:dyDescent="0.2">
      <c r="A133" t="s">
        <v>193</v>
      </c>
      <c r="B133" t="s">
        <v>233</v>
      </c>
      <c r="C133" t="s">
        <v>190</v>
      </c>
      <c r="D133" t="s">
        <v>242</v>
      </c>
      <c r="Q133">
        <f t="shared" si="6"/>
        <v>0</v>
      </c>
      <c r="R133">
        <f t="shared" si="7"/>
        <v>0</v>
      </c>
    </row>
    <row r="134" spans="1:18" x14ac:dyDescent="0.2">
      <c r="A134" t="s">
        <v>193</v>
      </c>
      <c r="B134" t="s">
        <v>233</v>
      </c>
      <c r="C134" t="s">
        <v>67</v>
      </c>
      <c r="D134" t="s">
        <v>243</v>
      </c>
      <c r="Q134">
        <f t="shared" si="6"/>
        <v>0</v>
      </c>
      <c r="R134">
        <f t="shared" si="7"/>
        <v>0</v>
      </c>
    </row>
    <row r="135" spans="1:18" x14ac:dyDescent="0.2">
      <c r="A135" t="s">
        <v>193</v>
      </c>
      <c r="B135" t="s">
        <v>233</v>
      </c>
      <c r="C135" t="s">
        <v>67</v>
      </c>
      <c r="D135" t="s">
        <v>244</v>
      </c>
      <c r="Q135">
        <f t="shared" si="6"/>
        <v>0</v>
      </c>
      <c r="R135">
        <f t="shared" si="7"/>
        <v>0</v>
      </c>
    </row>
    <row r="136" spans="1:18" x14ac:dyDescent="0.2">
      <c r="A136" t="s">
        <v>193</v>
      </c>
      <c r="B136" t="s">
        <v>233</v>
      </c>
      <c r="C136" t="s">
        <v>245</v>
      </c>
      <c r="D136" t="s">
        <v>557</v>
      </c>
      <c r="Q136">
        <f t="shared" si="6"/>
        <v>0</v>
      </c>
      <c r="R136">
        <f t="shared" si="7"/>
        <v>0</v>
      </c>
    </row>
    <row r="137" spans="1:18" x14ac:dyDescent="0.2">
      <c r="A137" t="s">
        <v>193</v>
      </c>
      <c r="B137" t="s">
        <v>233</v>
      </c>
      <c r="C137" t="s">
        <v>247</v>
      </c>
      <c r="D137" t="s">
        <v>248</v>
      </c>
      <c r="Q137">
        <f t="shared" si="6"/>
        <v>0</v>
      </c>
      <c r="R137">
        <f t="shared" si="7"/>
        <v>0</v>
      </c>
    </row>
    <row r="138" spans="1:18" x14ac:dyDescent="0.2">
      <c r="A138" t="s">
        <v>193</v>
      </c>
      <c r="B138" t="s">
        <v>233</v>
      </c>
      <c r="C138" t="s">
        <v>249</v>
      </c>
      <c r="D138" t="s">
        <v>250</v>
      </c>
      <c r="Q138">
        <f t="shared" si="6"/>
        <v>0</v>
      </c>
      <c r="R138">
        <f t="shared" si="7"/>
        <v>0</v>
      </c>
    </row>
    <row r="139" spans="1:18" x14ac:dyDescent="0.2">
      <c r="A139" t="s">
        <v>193</v>
      </c>
      <c r="B139" t="s">
        <v>175</v>
      </c>
      <c r="C139" t="s">
        <v>190</v>
      </c>
      <c r="D139" t="s">
        <v>251</v>
      </c>
      <c r="Q139">
        <f t="shared" si="6"/>
        <v>0</v>
      </c>
      <c r="R139">
        <f t="shared" si="7"/>
        <v>0</v>
      </c>
    </row>
    <row r="140" spans="1:18" x14ac:dyDescent="0.2">
      <c r="A140" t="s">
        <v>193</v>
      </c>
      <c r="B140" t="s">
        <v>175</v>
      </c>
      <c r="C140" t="s">
        <v>252</v>
      </c>
      <c r="D140" t="s">
        <v>253</v>
      </c>
      <c r="Q140">
        <f t="shared" si="6"/>
        <v>0</v>
      </c>
      <c r="R140">
        <f t="shared" si="7"/>
        <v>0</v>
      </c>
    </row>
    <row r="141" spans="1:18" x14ac:dyDescent="0.2">
      <c r="A141" t="s">
        <v>193</v>
      </c>
      <c r="B141" t="s">
        <v>175</v>
      </c>
      <c r="C141" t="s">
        <v>252</v>
      </c>
      <c r="D141" t="s">
        <v>254</v>
      </c>
      <c r="Q141">
        <f t="shared" si="6"/>
        <v>0</v>
      </c>
      <c r="R141">
        <f t="shared" si="7"/>
        <v>0</v>
      </c>
    </row>
    <row r="142" spans="1:18" x14ac:dyDescent="0.2">
      <c r="A142" t="s">
        <v>193</v>
      </c>
      <c r="B142" t="s">
        <v>175</v>
      </c>
      <c r="C142" t="s">
        <v>249</v>
      </c>
      <c r="D142" t="s">
        <v>255</v>
      </c>
      <c r="Q142">
        <f t="shared" si="6"/>
        <v>0</v>
      </c>
      <c r="R142">
        <f t="shared" si="7"/>
        <v>0</v>
      </c>
    </row>
    <row r="143" spans="1:18" x14ac:dyDescent="0.2">
      <c r="A143" t="s">
        <v>193</v>
      </c>
      <c r="B143" t="s">
        <v>558</v>
      </c>
      <c r="C143" t="s">
        <v>195</v>
      </c>
      <c r="D143" t="s">
        <v>559</v>
      </c>
      <c r="Q143">
        <f t="shared" si="6"/>
        <v>0</v>
      </c>
      <c r="R143">
        <f t="shared" si="7"/>
        <v>0</v>
      </c>
    </row>
    <row r="144" spans="1:18" x14ac:dyDescent="0.2">
      <c r="A144" t="s">
        <v>193</v>
      </c>
      <c r="B144" t="s">
        <v>256</v>
      </c>
      <c r="C144" t="s">
        <v>257</v>
      </c>
      <c r="D144" t="s">
        <v>258</v>
      </c>
      <c r="Q144">
        <f t="shared" si="6"/>
        <v>0</v>
      </c>
      <c r="R144">
        <f t="shared" si="7"/>
        <v>0</v>
      </c>
    </row>
    <row r="145" spans="1:18" x14ac:dyDescent="0.2">
      <c r="A145" t="s">
        <v>193</v>
      </c>
      <c r="B145" t="s">
        <v>256</v>
      </c>
      <c r="C145" t="s">
        <v>259</v>
      </c>
      <c r="D145" t="s">
        <v>260</v>
      </c>
      <c r="F145">
        <v>0.3</v>
      </c>
      <c r="H145">
        <v>5</v>
      </c>
      <c r="Q145">
        <f t="shared" si="6"/>
        <v>0</v>
      </c>
      <c r="R145">
        <f t="shared" si="7"/>
        <v>5.3</v>
      </c>
    </row>
    <row r="146" spans="1:18" x14ac:dyDescent="0.2">
      <c r="A146" t="s">
        <v>193</v>
      </c>
      <c r="B146" t="s">
        <v>261</v>
      </c>
      <c r="C146" t="s">
        <v>262</v>
      </c>
      <c r="D146" t="s">
        <v>263</v>
      </c>
      <c r="Q146">
        <f t="shared" si="6"/>
        <v>0</v>
      </c>
      <c r="R146">
        <f t="shared" si="7"/>
        <v>0</v>
      </c>
    </row>
    <row r="147" spans="1:18" x14ac:dyDescent="0.2">
      <c r="A147" t="s">
        <v>193</v>
      </c>
      <c r="B147" t="s">
        <v>261</v>
      </c>
      <c r="C147" t="s">
        <v>25</v>
      </c>
      <c r="D147" t="s">
        <v>264</v>
      </c>
      <c r="Q147">
        <f t="shared" si="6"/>
        <v>0</v>
      </c>
      <c r="R147">
        <f t="shared" si="7"/>
        <v>0</v>
      </c>
    </row>
    <row r="148" spans="1:18" x14ac:dyDescent="0.2">
      <c r="A148" t="s">
        <v>193</v>
      </c>
      <c r="B148" t="s">
        <v>261</v>
      </c>
      <c r="C148" t="s">
        <v>262</v>
      </c>
      <c r="D148" t="s">
        <v>265</v>
      </c>
      <c r="Q148">
        <f t="shared" si="6"/>
        <v>0</v>
      </c>
      <c r="R148">
        <f t="shared" si="7"/>
        <v>0</v>
      </c>
    </row>
    <row r="149" spans="1:18" x14ac:dyDescent="0.2">
      <c r="A149" t="s">
        <v>193</v>
      </c>
      <c r="B149" t="s">
        <v>261</v>
      </c>
      <c r="C149" t="s">
        <v>25</v>
      </c>
      <c r="D149" t="s">
        <v>266</v>
      </c>
      <c r="Q149">
        <f t="shared" si="6"/>
        <v>0</v>
      </c>
      <c r="R149">
        <f t="shared" si="7"/>
        <v>0</v>
      </c>
    </row>
    <row r="150" spans="1:18" x14ac:dyDescent="0.2">
      <c r="A150" t="s">
        <v>267</v>
      </c>
      <c r="B150" t="s">
        <v>274</v>
      </c>
      <c r="C150" t="s">
        <v>275</v>
      </c>
      <c r="D150" t="s">
        <v>276</v>
      </c>
      <c r="Q150">
        <f t="shared" si="6"/>
        <v>0</v>
      </c>
      <c r="R150">
        <f t="shared" si="7"/>
        <v>0</v>
      </c>
    </row>
    <row r="151" spans="1:18" x14ac:dyDescent="0.2">
      <c r="A151" t="s">
        <v>267</v>
      </c>
      <c r="B151" t="s">
        <v>274</v>
      </c>
      <c r="C151" t="s">
        <v>379</v>
      </c>
      <c r="D151" t="s">
        <v>380</v>
      </c>
      <c r="Q151">
        <f t="shared" si="6"/>
        <v>0</v>
      </c>
      <c r="R151">
        <f t="shared" si="7"/>
        <v>0</v>
      </c>
    </row>
    <row r="152" spans="1:18" x14ac:dyDescent="0.2">
      <c r="A152" t="s">
        <v>267</v>
      </c>
      <c r="B152" t="s">
        <v>289</v>
      </c>
      <c r="C152" t="s">
        <v>72</v>
      </c>
      <c r="D152" t="s">
        <v>290</v>
      </c>
      <c r="F152">
        <v>1.3</v>
      </c>
      <c r="Q152">
        <f t="shared" si="6"/>
        <v>0</v>
      </c>
      <c r="R152">
        <f t="shared" si="7"/>
        <v>1.3</v>
      </c>
    </row>
    <row r="153" spans="1:18" x14ac:dyDescent="0.2">
      <c r="A153" t="s">
        <v>267</v>
      </c>
      <c r="B153" t="s">
        <v>289</v>
      </c>
      <c r="C153" t="s">
        <v>72</v>
      </c>
      <c r="D153" t="s">
        <v>291</v>
      </c>
      <c r="Q153">
        <f t="shared" si="6"/>
        <v>0</v>
      </c>
      <c r="R153">
        <f t="shared" si="7"/>
        <v>0</v>
      </c>
    </row>
    <row r="154" spans="1:18" x14ac:dyDescent="0.2">
      <c r="A154" t="s">
        <v>267</v>
      </c>
      <c r="B154" t="s">
        <v>289</v>
      </c>
      <c r="C154" t="s">
        <v>72</v>
      </c>
      <c r="D154" t="s">
        <v>346</v>
      </c>
      <c r="F154">
        <v>0.8</v>
      </c>
      <c r="J154">
        <v>1</v>
      </c>
      <c r="Q154">
        <f t="shared" si="6"/>
        <v>0</v>
      </c>
      <c r="R154">
        <f t="shared" si="7"/>
        <v>1.8</v>
      </c>
    </row>
    <row r="155" spans="1:18" x14ac:dyDescent="0.2">
      <c r="A155" t="s">
        <v>267</v>
      </c>
      <c r="B155" t="s">
        <v>289</v>
      </c>
      <c r="C155" t="s">
        <v>72</v>
      </c>
      <c r="D155" t="s">
        <v>355</v>
      </c>
      <c r="Q155">
        <f t="shared" ref="Q155:Q186" si="8">SUM(E155,G155,I155,K155,M155,O155)</f>
        <v>0</v>
      </c>
      <c r="R155">
        <f t="shared" ref="R155:R186" si="9">SUM(F155,H155,J155,L155,N155,P155)</f>
        <v>0</v>
      </c>
    </row>
    <row r="156" spans="1:18" x14ac:dyDescent="0.2">
      <c r="A156" t="s">
        <v>267</v>
      </c>
      <c r="B156" t="s">
        <v>289</v>
      </c>
      <c r="C156" t="s">
        <v>72</v>
      </c>
      <c r="D156" t="s">
        <v>364</v>
      </c>
      <c r="Q156">
        <f t="shared" si="8"/>
        <v>0</v>
      </c>
      <c r="R156">
        <f t="shared" si="9"/>
        <v>0</v>
      </c>
    </row>
    <row r="157" spans="1:18" x14ac:dyDescent="0.2">
      <c r="A157" t="s">
        <v>267</v>
      </c>
      <c r="B157" t="s">
        <v>289</v>
      </c>
      <c r="C157" t="s">
        <v>72</v>
      </c>
      <c r="D157" t="s">
        <v>399</v>
      </c>
      <c r="Q157">
        <f t="shared" si="8"/>
        <v>0</v>
      </c>
      <c r="R157">
        <f t="shared" si="9"/>
        <v>0</v>
      </c>
    </row>
    <row r="158" spans="1:18" x14ac:dyDescent="0.2">
      <c r="A158" t="s">
        <v>267</v>
      </c>
      <c r="B158" t="s">
        <v>289</v>
      </c>
      <c r="C158" t="s">
        <v>53</v>
      </c>
      <c r="D158" t="s">
        <v>418</v>
      </c>
      <c r="Q158">
        <f t="shared" si="8"/>
        <v>0</v>
      </c>
      <c r="R158">
        <f t="shared" si="9"/>
        <v>0</v>
      </c>
    </row>
    <row r="159" spans="1:18" x14ac:dyDescent="0.2">
      <c r="A159" t="s">
        <v>267</v>
      </c>
      <c r="B159" t="s">
        <v>317</v>
      </c>
      <c r="C159" t="s">
        <v>53</v>
      </c>
      <c r="D159" t="s">
        <v>318</v>
      </c>
      <c r="Q159">
        <f t="shared" si="8"/>
        <v>0</v>
      </c>
      <c r="R159">
        <f t="shared" si="9"/>
        <v>0</v>
      </c>
    </row>
    <row r="160" spans="1:18" x14ac:dyDescent="0.2">
      <c r="A160" t="s">
        <v>267</v>
      </c>
      <c r="B160" t="s">
        <v>317</v>
      </c>
      <c r="C160" t="s">
        <v>72</v>
      </c>
      <c r="D160" t="s">
        <v>319</v>
      </c>
      <c r="Q160">
        <f t="shared" si="8"/>
        <v>0</v>
      </c>
      <c r="R160">
        <f t="shared" si="9"/>
        <v>0</v>
      </c>
    </row>
    <row r="161" spans="1:18" x14ac:dyDescent="0.2">
      <c r="A161" t="s">
        <v>267</v>
      </c>
      <c r="B161" t="s">
        <v>317</v>
      </c>
      <c r="C161" t="s">
        <v>72</v>
      </c>
      <c r="D161" t="s">
        <v>343</v>
      </c>
      <c r="F161">
        <v>0.8</v>
      </c>
      <c r="H161">
        <v>2</v>
      </c>
      <c r="Q161">
        <f t="shared" si="8"/>
        <v>0</v>
      </c>
      <c r="R161">
        <f t="shared" si="9"/>
        <v>2.8</v>
      </c>
    </row>
    <row r="162" spans="1:18" x14ac:dyDescent="0.2">
      <c r="A162" t="s">
        <v>267</v>
      </c>
      <c r="B162" t="s">
        <v>317</v>
      </c>
      <c r="C162" t="s">
        <v>72</v>
      </c>
      <c r="D162" t="s">
        <v>344</v>
      </c>
      <c r="Q162">
        <f t="shared" si="8"/>
        <v>0</v>
      </c>
      <c r="R162">
        <f t="shared" si="9"/>
        <v>0</v>
      </c>
    </row>
    <row r="163" spans="1:18" x14ac:dyDescent="0.2">
      <c r="A163" t="s">
        <v>267</v>
      </c>
      <c r="B163" t="s">
        <v>317</v>
      </c>
      <c r="C163" t="s">
        <v>72</v>
      </c>
      <c r="D163" t="s">
        <v>350</v>
      </c>
      <c r="Q163">
        <f t="shared" si="8"/>
        <v>0</v>
      </c>
      <c r="R163">
        <f t="shared" si="9"/>
        <v>0</v>
      </c>
    </row>
    <row r="164" spans="1:18" x14ac:dyDescent="0.2">
      <c r="A164" t="s">
        <v>267</v>
      </c>
      <c r="B164" t="s">
        <v>317</v>
      </c>
      <c r="C164" t="s">
        <v>72</v>
      </c>
      <c r="D164" t="s">
        <v>371</v>
      </c>
      <c r="Q164">
        <f t="shared" si="8"/>
        <v>0</v>
      </c>
      <c r="R164">
        <f t="shared" si="9"/>
        <v>0</v>
      </c>
    </row>
    <row r="165" spans="1:18" x14ac:dyDescent="0.2">
      <c r="A165" t="s">
        <v>267</v>
      </c>
      <c r="B165" t="s">
        <v>317</v>
      </c>
      <c r="C165" t="s">
        <v>72</v>
      </c>
      <c r="D165" t="s">
        <v>392</v>
      </c>
      <c r="Q165">
        <f t="shared" si="8"/>
        <v>0</v>
      </c>
      <c r="R165">
        <f t="shared" si="9"/>
        <v>0</v>
      </c>
    </row>
    <row r="166" spans="1:18" x14ac:dyDescent="0.2">
      <c r="A166" t="s">
        <v>267</v>
      </c>
      <c r="B166" t="s">
        <v>358</v>
      </c>
      <c r="C166" t="s">
        <v>359</v>
      </c>
      <c r="D166" t="s">
        <v>360</v>
      </c>
      <c r="F166">
        <v>0.1</v>
      </c>
      <c r="Q166">
        <f t="shared" si="8"/>
        <v>0</v>
      </c>
      <c r="R166">
        <f t="shared" si="9"/>
        <v>0.1</v>
      </c>
    </row>
    <row r="167" spans="1:18" x14ac:dyDescent="0.2">
      <c r="A167" t="s">
        <v>267</v>
      </c>
      <c r="B167" t="s">
        <v>283</v>
      </c>
      <c r="C167" t="s">
        <v>72</v>
      </c>
      <c r="D167" t="s">
        <v>284</v>
      </c>
      <c r="F167">
        <v>0.2</v>
      </c>
      <c r="Q167">
        <f t="shared" si="8"/>
        <v>0</v>
      </c>
      <c r="R167">
        <f t="shared" si="9"/>
        <v>0.2</v>
      </c>
    </row>
    <row r="168" spans="1:18" x14ac:dyDescent="0.2">
      <c r="A168" t="s">
        <v>267</v>
      </c>
      <c r="B168" t="s">
        <v>283</v>
      </c>
      <c r="C168" t="s">
        <v>72</v>
      </c>
      <c r="D168" t="s">
        <v>285</v>
      </c>
      <c r="F168">
        <v>0.2</v>
      </c>
      <c r="Q168">
        <f t="shared" si="8"/>
        <v>0</v>
      </c>
      <c r="R168">
        <f t="shared" si="9"/>
        <v>0.2</v>
      </c>
    </row>
    <row r="169" spans="1:18" x14ac:dyDescent="0.2">
      <c r="A169" t="s">
        <v>267</v>
      </c>
      <c r="B169" t="s">
        <v>283</v>
      </c>
      <c r="C169" t="s">
        <v>72</v>
      </c>
      <c r="D169" t="s">
        <v>288</v>
      </c>
      <c r="Q169">
        <f t="shared" si="8"/>
        <v>0</v>
      </c>
      <c r="R169">
        <f t="shared" si="9"/>
        <v>0</v>
      </c>
    </row>
    <row r="170" spans="1:18" x14ac:dyDescent="0.2">
      <c r="A170" t="s">
        <v>267</v>
      </c>
      <c r="B170" t="s">
        <v>283</v>
      </c>
      <c r="C170" t="s">
        <v>72</v>
      </c>
      <c r="D170" t="s">
        <v>310</v>
      </c>
      <c r="Q170">
        <f t="shared" si="8"/>
        <v>0</v>
      </c>
      <c r="R170">
        <f t="shared" si="9"/>
        <v>0</v>
      </c>
    </row>
    <row r="171" spans="1:18" x14ac:dyDescent="0.2">
      <c r="A171" t="s">
        <v>267</v>
      </c>
      <c r="B171" t="s">
        <v>283</v>
      </c>
      <c r="C171" t="s">
        <v>72</v>
      </c>
      <c r="D171" t="s">
        <v>341</v>
      </c>
      <c r="F171">
        <v>1.1000000000000001</v>
      </c>
      <c r="Q171">
        <f t="shared" si="8"/>
        <v>0</v>
      </c>
      <c r="R171">
        <f t="shared" si="9"/>
        <v>1.1000000000000001</v>
      </c>
    </row>
    <row r="172" spans="1:18" x14ac:dyDescent="0.2">
      <c r="A172" t="s">
        <v>267</v>
      </c>
      <c r="B172" t="s">
        <v>283</v>
      </c>
      <c r="C172" t="s">
        <v>53</v>
      </c>
      <c r="D172" t="s">
        <v>342</v>
      </c>
      <c r="Q172">
        <f t="shared" si="8"/>
        <v>0</v>
      </c>
      <c r="R172">
        <f t="shared" si="9"/>
        <v>0</v>
      </c>
    </row>
    <row r="173" spans="1:18" x14ac:dyDescent="0.2">
      <c r="A173" t="s">
        <v>267</v>
      </c>
      <c r="B173" t="s">
        <v>283</v>
      </c>
      <c r="C173" t="s">
        <v>72</v>
      </c>
      <c r="D173" t="s">
        <v>365</v>
      </c>
      <c r="Q173">
        <f t="shared" si="8"/>
        <v>0</v>
      </c>
      <c r="R173">
        <f t="shared" si="9"/>
        <v>0</v>
      </c>
    </row>
    <row r="174" spans="1:18" x14ac:dyDescent="0.2">
      <c r="A174" t="s">
        <v>267</v>
      </c>
      <c r="B174" t="s">
        <v>283</v>
      </c>
      <c r="C174" t="s">
        <v>72</v>
      </c>
      <c r="D174" t="s">
        <v>366</v>
      </c>
      <c r="Q174">
        <f t="shared" si="8"/>
        <v>0</v>
      </c>
      <c r="R174">
        <f t="shared" si="9"/>
        <v>0</v>
      </c>
    </row>
    <row r="175" spans="1:18" x14ac:dyDescent="0.2">
      <c r="A175" t="s">
        <v>267</v>
      </c>
      <c r="B175" t="s">
        <v>283</v>
      </c>
      <c r="C175" t="s">
        <v>72</v>
      </c>
      <c r="D175" t="s">
        <v>367</v>
      </c>
      <c r="Q175">
        <f t="shared" si="8"/>
        <v>0</v>
      </c>
      <c r="R175">
        <f t="shared" si="9"/>
        <v>0</v>
      </c>
    </row>
    <row r="176" spans="1:18" x14ac:dyDescent="0.2">
      <c r="A176" t="s">
        <v>267</v>
      </c>
      <c r="B176" t="s">
        <v>283</v>
      </c>
      <c r="C176" t="s">
        <v>72</v>
      </c>
      <c r="D176" t="s">
        <v>368</v>
      </c>
      <c r="Q176">
        <f t="shared" si="8"/>
        <v>0</v>
      </c>
      <c r="R176">
        <f t="shared" si="9"/>
        <v>0</v>
      </c>
    </row>
    <row r="177" spans="1:18" x14ac:dyDescent="0.2">
      <c r="A177" t="s">
        <v>267</v>
      </c>
      <c r="B177" t="s">
        <v>283</v>
      </c>
      <c r="C177" t="s">
        <v>53</v>
      </c>
      <c r="D177" t="s">
        <v>372</v>
      </c>
      <c r="F177">
        <v>0.2</v>
      </c>
      <c r="Q177">
        <f t="shared" si="8"/>
        <v>0</v>
      </c>
      <c r="R177">
        <f t="shared" si="9"/>
        <v>0.2</v>
      </c>
    </row>
    <row r="178" spans="1:18" x14ac:dyDescent="0.2">
      <c r="A178" t="s">
        <v>267</v>
      </c>
      <c r="B178" t="s">
        <v>283</v>
      </c>
      <c r="C178" t="s">
        <v>72</v>
      </c>
      <c r="D178" t="s">
        <v>375</v>
      </c>
      <c r="Q178">
        <f t="shared" si="8"/>
        <v>0</v>
      </c>
      <c r="R178">
        <f t="shared" si="9"/>
        <v>0</v>
      </c>
    </row>
    <row r="179" spans="1:18" x14ac:dyDescent="0.2">
      <c r="A179" t="s">
        <v>267</v>
      </c>
      <c r="B179" t="s">
        <v>283</v>
      </c>
      <c r="C179" t="s">
        <v>376</v>
      </c>
      <c r="D179" t="s">
        <v>377</v>
      </c>
      <c r="F179">
        <v>0.1</v>
      </c>
      <c r="Q179">
        <f t="shared" si="8"/>
        <v>0</v>
      </c>
      <c r="R179">
        <f t="shared" si="9"/>
        <v>0.1</v>
      </c>
    </row>
    <row r="180" spans="1:18" x14ac:dyDescent="0.2">
      <c r="A180" t="s">
        <v>267</v>
      </c>
      <c r="B180" t="s">
        <v>283</v>
      </c>
      <c r="C180" t="s">
        <v>72</v>
      </c>
      <c r="D180" t="s">
        <v>382</v>
      </c>
      <c r="Q180">
        <f t="shared" si="8"/>
        <v>0</v>
      </c>
      <c r="R180">
        <f t="shared" si="9"/>
        <v>0</v>
      </c>
    </row>
    <row r="181" spans="1:18" x14ac:dyDescent="0.2">
      <c r="A181" t="s">
        <v>267</v>
      </c>
      <c r="B181" t="s">
        <v>283</v>
      </c>
      <c r="C181" t="s">
        <v>53</v>
      </c>
      <c r="D181" t="s">
        <v>390</v>
      </c>
      <c r="Q181">
        <f t="shared" si="8"/>
        <v>0</v>
      </c>
      <c r="R181">
        <f t="shared" si="9"/>
        <v>0</v>
      </c>
    </row>
    <row r="182" spans="1:18" x14ac:dyDescent="0.2">
      <c r="A182" t="s">
        <v>267</v>
      </c>
      <c r="B182" t="s">
        <v>283</v>
      </c>
      <c r="C182" t="s">
        <v>293</v>
      </c>
      <c r="D182" t="s">
        <v>391</v>
      </c>
      <c r="F182">
        <v>0.4</v>
      </c>
      <c r="Q182">
        <f t="shared" si="8"/>
        <v>0</v>
      </c>
      <c r="R182">
        <f t="shared" si="9"/>
        <v>0.4</v>
      </c>
    </row>
    <row r="183" spans="1:18" x14ac:dyDescent="0.2">
      <c r="A183" t="s">
        <v>267</v>
      </c>
      <c r="B183" t="s">
        <v>283</v>
      </c>
      <c r="C183" t="s">
        <v>72</v>
      </c>
      <c r="D183" t="s">
        <v>396</v>
      </c>
      <c r="Q183">
        <f t="shared" si="8"/>
        <v>0</v>
      </c>
      <c r="R183">
        <f t="shared" si="9"/>
        <v>0</v>
      </c>
    </row>
    <row r="184" spans="1:18" x14ac:dyDescent="0.2">
      <c r="A184" t="s">
        <v>267</v>
      </c>
      <c r="B184" t="s">
        <v>283</v>
      </c>
      <c r="C184" t="s">
        <v>72</v>
      </c>
      <c r="D184" t="s">
        <v>400</v>
      </c>
      <c r="Q184">
        <f t="shared" si="8"/>
        <v>0</v>
      </c>
      <c r="R184">
        <f t="shared" si="9"/>
        <v>0</v>
      </c>
    </row>
    <row r="185" spans="1:18" x14ac:dyDescent="0.2">
      <c r="A185" t="s">
        <v>267</v>
      </c>
      <c r="B185" t="s">
        <v>283</v>
      </c>
      <c r="C185" t="s">
        <v>72</v>
      </c>
      <c r="D185" t="s">
        <v>402</v>
      </c>
      <c r="F185">
        <v>0.2</v>
      </c>
      <c r="Q185">
        <f t="shared" si="8"/>
        <v>0</v>
      </c>
      <c r="R185">
        <f t="shared" si="9"/>
        <v>0.2</v>
      </c>
    </row>
    <row r="186" spans="1:18" x14ac:dyDescent="0.2">
      <c r="A186" t="s">
        <v>267</v>
      </c>
      <c r="B186" t="s">
        <v>283</v>
      </c>
      <c r="C186" t="s">
        <v>72</v>
      </c>
      <c r="D186" t="s">
        <v>403</v>
      </c>
      <c r="Q186">
        <f t="shared" si="8"/>
        <v>0</v>
      </c>
      <c r="R186">
        <f t="shared" si="9"/>
        <v>0</v>
      </c>
    </row>
    <row r="187" spans="1:18" x14ac:dyDescent="0.2">
      <c r="A187" t="s">
        <v>267</v>
      </c>
      <c r="B187" t="s">
        <v>283</v>
      </c>
      <c r="C187" t="s">
        <v>72</v>
      </c>
      <c r="D187" t="s">
        <v>407</v>
      </c>
      <c r="F187">
        <v>0.7</v>
      </c>
      <c r="Q187">
        <f t="shared" ref="Q187:Q193" si="10">SUM(E187,G187,I187,K187,M187,O187)</f>
        <v>0</v>
      </c>
      <c r="R187">
        <f t="shared" ref="R187:R193" si="11">SUM(F187,H187,J187,L187,N187,P187)</f>
        <v>0.7</v>
      </c>
    </row>
    <row r="188" spans="1:18" x14ac:dyDescent="0.2">
      <c r="A188" t="s">
        <v>267</v>
      </c>
      <c r="B188" t="s">
        <v>283</v>
      </c>
      <c r="C188" t="s">
        <v>53</v>
      </c>
      <c r="D188" t="s">
        <v>408</v>
      </c>
      <c r="F188">
        <v>0.7</v>
      </c>
      <c r="Q188">
        <f t="shared" si="10"/>
        <v>0</v>
      </c>
      <c r="R188">
        <f t="shared" si="11"/>
        <v>0.7</v>
      </c>
    </row>
    <row r="189" spans="1:18" x14ac:dyDescent="0.2">
      <c r="A189" t="s">
        <v>267</v>
      </c>
      <c r="B189" t="s">
        <v>283</v>
      </c>
      <c r="C189" t="s">
        <v>53</v>
      </c>
      <c r="D189" t="s">
        <v>409</v>
      </c>
      <c r="Q189">
        <f t="shared" si="10"/>
        <v>0</v>
      </c>
      <c r="R189">
        <f t="shared" si="11"/>
        <v>0</v>
      </c>
    </row>
    <row r="190" spans="1:18" x14ac:dyDescent="0.2">
      <c r="A190" t="s">
        <v>267</v>
      </c>
      <c r="B190" t="s">
        <v>283</v>
      </c>
      <c r="C190" t="s">
        <v>369</v>
      </c>
      <c r="D190" t="s">
        <v>410</v>
      </c>
      <c r="F190">
        <v>0.8</v>
      </c>
      <c r="Q190">
        <f t="shared" si="10"/>
        <v>0</v>
      </c>
      <c r="R190">
        <f t="shared" si="11"/>
        <v>0.8</v>
      </c>
    </row>
    <row r="191" spans="1:18" x14ac:dyDescent="0.2">
      <c r="A191" t="s">
        <v>267</v>
      </c>
      <c r="B191" t="s">
        <v>283</v>
      </c>
      <c r="C191" t="s">
        <v>67</v>
      </c>
      <c r="D191" t="s">
        <v>411</v>
      </c>
      <c r="Q191">
        <f t="shared" si="10"/>
        <v>0</v>
      </c>
      <c r="R191">
        <f t="shared" si="11"/>
        <v>0</v>
      </c>
    </row>
    <row r="192" spans="1:18" x14ac:dyDescent="0.2">
      <c r="A192" t="s">
        <v>267</v>
      </c>
      <c r="B192" t="s">
        <v>283</v>
      </c>
      <c r="C192" t="s">
        <v>299</v>
      </c>
      <c r="D192" t="s">
        <v>412</v>
      </c>
      <c r="Q192">
        <f t="shared" si="10"/>
        <v>0</v>
      </c>
      <c r="R192">
        <f t="shared" si="11"/>
        <v>0</v>
      </c>
    </row>
    <row r="193" spans="1:18" x14ac:dyDescent="0.2">
      <c r="A193" t="s">
        <v>267</v>
      </c>
      <c r="B193" t="s">
        <v>283</v>
      </c>
      <c r="C193" t="s">
        <v>72</v>
      </c>
      <c r="D193" t="s">
        <v>417</v>
      </c>
      <c r="Q193">
        <f t="shared" si="10"/>
        <v>0</v>
      </c>
      <c r="R193">
        <f t="shared" si="11"/>
        <v>0</v>
      </c>
    </row>
    <row r="194" spans="1:18" x14ac:dyDescent="0.2">
      <c r="B194" t="s">
        <v>348</v>
      </c>
      <c r="C194" t="s">
        <v>293</v>
      </c>
      <c r="D194" t="s">
        <v>294</v>
      </c>
      <c r="F194">
        <v>0.7</v>
      </c>
    </row>
    <row r="195" spans="1:18" x14ac:dyDescent="0.2">
      <c r="A195" t="s">
        <v>267</v>
      </c>
      <c r="B195" t="s">
        <v>348</v>
      </c>
      <c r="C195" t="s">
        <v>293</v>
      </c>
      <c r="D195" t="s">
        <v>349</v>
      </c>
      <c r="F195">
        <v>0.5</v>
      </c>
      <c r="Q195">
        <f t="shared" ref="Q195:Q226" si="12">SUM(E195,G195,I195,K195,M195,O195)</f>
        <v>0</v>
      </c>
      <c r="R195">
        <f t="shared" ref="R195:R226" si="13">SUM(F195,H195,J195,L195,N195,P195)</f>
        <v>0.5</v>
      </c>
    </row>
    <row r="196" spans="1:18" x14ac:dyDescent="0.2">
      <c r="A196" t="s">
        <v>267</v>
      </c>
      <c r="B196" t="s">
        <v>177</v>
      </c>
      <c r="C196" t="s">
        <v>72</v>
      </c>
      <c r="D196" t="s">
        <v>273</v>
      </c>
      <c r="Q196">
        <f t="shared" si="12"/>
        <v>0</v>
      </c>
      <c r="R196">
        <f t="shared" si="13"/>
        <v>0</v>
      </c>
    </row>
    <row r="197" spans="1:18" x14ac:dyDescent="0.2">
      <c r="A197" t="s">
        <v>267</v>
      </c>
      <c r="B197" t="s">
        <v>177</v>
      </c>
      <c r="C197" t="s">
        <v>53</v>
      </c>
      <c r="D197" t="s">
        <v>277</v>
      </c>
      <c r="F197">
        <v>1.1000000000000001</v>
      </c>
      <c r="Q197">
        <f t="shared" si="12"/>
        <v>0</v>
      </c>
      <c r="R197">
        <f t="shared" si="13"/>
        <v>1.1000000000000001</v>
      </c>
    </row>
    <row r="198" spans="1:18" x14ac:dyDescent="0.2">
      <c r="A198" t="s">
        <v>267</v>
      </c>
      <c r="B198" t="s">
        <v>177</v>
      </c>
      <c r="C198" t="s">
        <v>72</v>
      </c>
      <c r="D198" t="s">
        <v>280</v>
      </c>
      <c r="F198">
        <v>0.8</v>
      </c>
      <c r="J198">
        <v>1</v>
      </c>
      <c r="Q198">
        <f t="shared" si="12"/>
        <v>0</v>
      </c>
      <c r="R198">
        <f t="shared" si="13"/>
        <v>1.8</v>
      </c>
    </row>
    <row r="199" spans="1:18" x14ac:dyDescent="0.2">
      <c r="A199" t="s">
        <v>267</v>
      </c>
      <c r="B199" t="s">
        <v>177</v>
      </c>
      <c r="C199" t="s">
        <v>72</v>
      </c>
      <c r="D199" t="s">
        <v>286</v>
      </c>
      <c r="Q199">
        <f t="shared" si="12"/>
        <v>0</v>
      </c>
      <c r="R199">
        <f t="shared" si="13"/>
        <v>0</v>
      </c>
    </row>
    <row r="200" spans="1:18" x14ac:dyDescent="0.2">
      <c r="A200" t="s">
        <v>267</v>
      </c>
      <c r="B200" t="s">
        <v>177</v>
      </c>
      <c r="C200" t="s">
        <v>53</v>
      </c>
      <c r="D200" t="s">
        <v>295</v>
      </c>
      <c r="F200">
        <v>1</v>
      </c>
      <c r="Q200">
        <f t="shared" si="12"/>
        <v>0</v>
      </c>
      <c r="R200">
        <f t="shared" si="13"/>
        <v>1</v>
      </c>
    </row>
    <row r="201" spans="1:18" x14ac:dyDescent="0.2">
      <c r="A201" t="s">
        <v>267</v>
      </c>
      <c r="B201" t="s">
        <v>177</v>
      </c>
      <c r="C201" t="s">
        <v>303</v>
      </c>
      <c r="D201" t="s">
        <v>304</v>
      </c>
      <c r="Q201">
        <f t="shared" si="12"/>
        <v>0</v>
      </c>
      <c r="R201">
        <f t="shared" si="13"/>
        <v>0</v>
      </c>
    </row>
    <row r="202" spans="1:18" x14ac:dyDescent="0.2">
      <c r="A202" t="s">
        <v>267</v>
      </c>
      <c r="B202" t="s">
        <v>177</v>
      </c>
      <c r="C202" t="s">
        <v>72</v>
      </c>
      <c r="D202" t="s">
        <v>305</v>
      </c>
      <c r="Q202">
        <f t="shared" si="12"/>
        <v>0</v>
      </c>
      <c r="R202">
        <f t="shared" si="13"/>
        <v>0</v>
      </c>
    </row>
    <row r="203" spans="1:18" x14ac:dyDescent="0.2">
      <c r="A203" t="s">
        <v>267</v>
      </c>
      <c r="B203" t="s">
        <v>177</v>
      </c>
      <c r="C203" t="s">
        <v>72</v>
      </c>
      <c r="D203" t="s">
        <v>309</v>
      </c>
      <c r="F203">
        <v>0.4</v>
      </c>
      <c r="Q203">
        <f t="shared" si="12"/>
        <v>0</v>
      </c>
      <c r="R203">
        <f t="shared" si="13"/>
        <v>0.4</v>
      </c>
    </row>
    <row r="204" spans="1:18" x14ac:dyDescent="0.2">
      <c r="A204" t="s">
        <v>267</v>
      </c>
      <c r="B204" t="s">
        <v>177</v>
      </c>
      <c r="C204" t="s">
        <v>53</v>
      </c>
      <c r="D204" t="s">
        <v>316</v>
      </c>
      <c r="F204">
        <v>1.5</v>
      </c>
      <c r="Q204">
        <f t="shared" si="12"/>
        <v>0</v>
      </c>
      <c r="R204">
        <f t="shared" si="13"/>
        <v>1.5</v>
      </c>
    </row>
    <row r="205" spans="1:18" x14ac:dyDescent="0.2">
      <c r="A205" t="s">
        <v>267</v>
      </c>
      <c r="B205" t="s">
        <v>177</v>
      </c>
      <c r="C205" t="s">
        <v>271</v>
      </c>
      <c r="D205" t="s">
        <v>324</v>
      </c>
      <c r="Q205">
        <f t="shared" si="12"/>
        <v>0</v>
      </c>
      <c r="R205">
        <f t="shared" si="13"/>
        <v>0</v>
      </c>
    </row>
    <row r="206" spans="1:18" x14ac:dyDescent="0.2">
      <c r="A206" t="s">
        <v>267</v>
      </c>
      <c r="B206" t="s">
        <v>177</v>
      </c>
      <c r="C206" t="s">
        <v>271</v>
      </c>
      <c r="D206" t="s">
        <v>325</v>
      </c>
      <c r="Q206">
        <f t="shared" si="12"/>
        <v>0</v>
      </c>
      <c r="R206">
        <f t="shared" si="13"/>
        <v>0</v>
      </c>
    </row>
    <row r="207" spans="1:18" x14ac:dyDescent="0.2">
      <c r="A207" t="s">
        <v>267</v>
      </c>
      <c r="B207" t="s">
        <v>177</v>
      </c>
      <c r="C207" t="s">
        <v>53</v>
      </c>
      <c r="D207" t="s">
        <v>326</v>
      </c>
      <c r="Q207">
        <f t="shared" si="12"/>
        <v>0</v>
      </c>
      <c r="R207">
        <f t="shared" si="13"/>
        <v>0</v>
      </c>
    </row>
    <row r="208" spans="1:18" x14ac:dyDescent="0.2">
      <c r="A208" t="s">
        <v>267</v>
      </c>
      <c r="B208" t="s">
        <v>177</v>
      </c>
      <c r="C208" t="s">
        <v>53</v>
      </c>
      <c r="D208" t="s">
        <v>333</v>
      </c>
      <c r="Q208">
        <f t="shared" si="12"/>
        <v>0</v>
      </c>
      <c r="R208">
        <f t="shared" si="13"/>
        <v>0</v>
      </c>
    </row>
    <row r="209" spans="1:18" x14ac:dyDescent="0.2">
      <c r="A209" t="s">
        <v>267</v>
      </c>
      <c r="B209" t="s">
        <v>177</v>
      </c>
      <c r="C209" t="s">
        <v>53</v>
      </c>
      <c r="D209" t="s">
        <v>345</v>
      </c>
      <c r="Q209">
        <f t="shared" si="12"/>
        <v>0</v>
      </c>
      <c r="R209">
        <f t="shared" si="13"/>
        <v>0</v>
      </c>
    </row>
    <row r="210" spans="1:18" x14ac:dyDescent="0.2">
      <c r="A210" t="s">
        <v>267</v>
      </c>
      <c r="B210" t="s">
        <v>177</v>
      </c>
      <c r="C210" t="s">
        <v>72</v>
      </c>
      <c r="D210" t="s">
        <v>347</v>
      </c>
      <c r="F210">
        <v>1.3</v>
      </c>
      <c r="Q210">
        <f t="shared" si="12"/>
        <v>0</v>
      </c>
      <c r="R210">
        <f t="shared" si="13"/>
        <v>1.3</v>
      </c>
    </row>
    <row r="211" spans="1:18" x14ac:dyDescent="0.2">
      <c r="A211" t="s">
        <v>267</v>
      </c>
      <c r="B211" t="s">
        <v>177</v>
      </c>
      <c r="C211" t="s">
        <v>72</v>
      </c>
      <c r="D211" t="s">
        <v>354</v>
      </c>
      <c r="F211">
        <v>1.3</v>
      </c>
      <c r="Q211">
        <f t="shared" si="12"/>
        <v>0</v>
      </c>
      <c r="R211">
        <f t="shared" si="13"/>
        <v>1.3</v>
      </c>
    </row>
    <row r="212" spans="1:18" x14ac:dyDescent="0.2">
      <c r="A212" t="s">
        <v>267</v>
      </c>
      <c r="B212" t="s">
        <v>177</v>
      </c>
      <c r="C212" t="s">
        <v>271</v>
      </c>
      <c r="D212" t="s">
        <v>363</v>
      </c>
      <c r="Q212">
        <f t="shared" si="12"/>
        <v>0</v>
      </c>
      <c r="R212">
        <f t="shared" si="13"/>
        <v>0</v>
      </c>
    </row>
    <row r="213" spans="1:18" x14ac:dyDescent="0.2">
      <c r="A213" t="s">
        <v>267</v>
      </c>
      <c r="B213" t="s">
        <v>177</v>
      </c>
      <c r="C213" t="s">
        <v>369</v>
      </c>
      <c r="D213" t="s">
        <v>370</v>
      </c>
      <c r="Q213">
        <f t="shared" si="12"/>
        <v>0</v>
      </c>
      <c r="R213">
        <f t="shared" si="13"/>
        <v>0</v>
      </c>
    </row>
    <row r="214" spans="1:18" x14ac:dyDescent="0.2">
      <c r="A214" t="s">
        <v>267</v>
      </c>
      <c r="B214" t="s">
        <v>177</v>
      </c>
      <c r="C214" t="s">
        <v>72</v>
      </c>
      <c r="D214" t="s">
        <v>381</v>
      </c>
      <c r="Q214">
        <f t="shared" si="12"/>
        <v>0</v>
      </c>
      <c r="R214">
        <f t="shared" si="13"/>
        <v>0</v>
      </c>
    </row>
    <row r="215" spans="1:18" x14ac:dyDescent="0.2">
      <c r="A215" t="s">
        <v>267</v>
      </c>
      <c r="B215" t="s">
        <v>177</v>
      </c>
      <c r="C215" t="s">
        <v>72</v>
      </c>
      <c r="D215" t="s">
        <v>385</v>
      </c>
      <c r="Q215">
        <f t="shared" si="12"/>
        <v>0</v>
      </c>
      <c r="R215">
        <f t="shared" si="13"/>
        <v>0</v>
      </c>
    </row>
    <row r="216" spans="1:18" x14ac:dyDescent="0.2">
      <c r="A216" t="s">
        <v>267</v>
      </c>
      <c r="B216" t="s">
        <v>177</v>
      </c>
      <c r="C216" t="s">
        <v>53</v>
      </c>
      <c r="D216" t="s">
        <v>389</v>
      </c>
      <c r="F216">
        <v>0.15</v>
      </c>
      <c r="Q216">
        <f t="shared" si="12"/>
        <v>0</v>
      </c>
      <c r="R216">
        <f t="shared" si="13"/>
        <v>0.15</v>
      </c>
    </row>
    <row r="217" spans="1:18" x14ac:dyDescent="0.2">
      <c r="A217" t="s">
        <v>267</v>
      </c>
      <c r="B217" t="s">
        <v>177</v>
      </c>
      <c r="C217" t="s">
        <v>72</v>
      </c>
      <c r="D217" t="s">
        <v>397</v>
      </c>
      <c r="F217">
        <v>0.6</v>
      </c>
      <c r="Q217">
        <f t="shared" si="12"/>
        <v>0</v>
      </c>
      <c r="R217">
        <f t="shared" si="13"/>
        <v>0.6</v>
      </c>
    </row>
    <row r="218" spans="1:18" x14ac:dyDescent="0.2">
      <c r="A218" t="s">
        <v>267</v>
      </c>
      <c r="B218" t="s">
        <v>177</v>
      </c>
      <c r="C218" t="s">
        <v>53</v>
      </c>
      <c r="D218" t="s">
        <v>405</v>
      </c>
      <c r="F218">
        <v>0.8</v>
      </c>
      <c r="Q218">
        <f t="shared" si="12"/>
        <v>0</v>
      </c>
      <c r="R218">
        <f t="shared" si="13"/>
        <v>0.8</v>
      </c>
    </row>
    <row r="219" spans="1:18" x14ac:dyDescent="0.2">
      <c r="A219" t="s">
        <v>267</v>
      </c>
      <c r="B219" t="s">
        <v>373</v>
      </c>
      <c r="C219" t="s">
        <v>359</v>
      </c>
      <c r="D219" t="s">
        <v>374</v>
      </c>
      <c r="Q219">
        <f t="shared" si="12"/>
        <v>0</v>
      </c>
      <c r="R219">
        <f t="shared" si="13"/>
        <v>0</v>
      </c>
    </row>
    <row r="220" spans="1:18" x14ac:dyDescent="0.2">
      <c r="A220" t="s">
        <v>267</v>
      </c>
      <c r="B220" t="s">
        <v>373</v>
      </c>
      <c r="C220" t="s">
        <v>359</v>
      </c>
      <c r="D220" t="s">
        <v>393</v>
      </c>
      <c r="Q220">
        <f t="shared" si="12"/>
        <v>0</v>
      </c>
      <c r="R220">
        <f t="shared" si="13"/>
        <v>0</v>
      </c>
    </row>
    <row r="221" spans="1:18" x14ac:dyDescent="0.2">
      <c r="A221" t="s">
        <v>267</v>
      </c>
      <c r="B221" t="s">
        <v>296</v>
      </c>
      <c r="C221" t="s">
        <v>53</v>
      </c>
      <c r="D221" t="s">
        <v>297</v>
      </c>
      <c r="Q221">
        <f t="shared" si="12"/>
        <v>0</v>
      </c>
      <c r="R221">
        <f t="shared" si="13"/>
        <v>0</v>
      </c>
    </row>
    <row r="222" spans="1:18" x14ac:dyDescent="0.2">
      <c r="A222" t="s">
        <v>267</v>
      </c>
      <c r="B222" t="s">
        <v>296</v>
      </c>
      <c r="C222" t="s">
        <v>72</v>
      </c>
      <c r="D222" t="s">
        <v>323</v>
      </c>
      <c r="Q222">
        <f t="shared" si="12"/>
        <v>0</v>
      </c>
      <c r="R222">
        <f t="shared" si="13"/>
        <v>0</v>
      </c>
    </row>
    <row r="223" spans="1:18" x14ac:dyDescent="0.2">
      <c r="A223" t="s">
        <v>267</v>
      </c>
      <c r="B223" t="s">
        <v>296</v>
      </c>
      <c r="C223" t="s">
        <v>331</v>
      </c>
      <c r="D223" t="s">
        <v>332</v>
      </c>
      <c r="Q223">
        <f t="shared" si="12"/>
        <v>0</v>
      </c>
      <c r="R223">
        <f t="shared" si="13"/>
        <v>0</v>
      </c>
    </row>
    <row r="224" spans="1:18" x14ac:dyDescent="0.2">
      <c r="A224" t="s">
        <v>267</v>
      </c>
      <c r="B224" t="s">
        <v>296</v>
      </c>
      <c r="C224" t="s">
        <v>72</v>
      </c>
      <c r="D224" t="s">
        <v>338</v>
      </c>
      <c r="F224">
        <v>0.4</v>
      </c>
      <c r="Q224">
        <f t="shared" si="12"/>
        <v>0</v>
      </c>
      <c r="R224">
        <f t="shared" si="13"/>
        <v>0.4</v>
      </c>
    </row>
    <row r="225" spans="1:18" x14ac:dyDescent="0.2">
      <c r="A225" t="s">
        <v>267</v>
      </c>
      <c r="B225" t="s">
        <v>296</v>
      </c>
      <c r="C225" t="s">
        <v>72</v>
      </c>
      <c r="D225" t="s">
        <v>339</v>
      </c>
      <c r="F225">
        <v>0.5</v>
      </c>
      <c r="H225">
        <v>1</v>
      </c>
      <c r="Q225">
        <f t="shared" si="12"/>
        <v>0</v>
      </c>
      <c r="R225">
        <f t="shared" si="13"/>
        <v>1.5</v>
      </c>
    </row>
    <row r="226" spans="1:18" x14ac:dyDescent="0.2">
      <c r="A226" t="s">
        <v>267</v>
      </c>
      <c r="B226" t="s">
        <v>296</v>
      </c>
      <c r="C226" t="s">
        <v>72</v>
      </c>
      <c r="D226" t="s">
        <v>340</v>
      </c>
      <c r="F226">
        <v>1.4</v>
      </c>
      <c r="H226">
        <v>2</v>
      </c>
      <c r="Q226">
        <f t="shared" si="12"/>
        <v>0</v>
      </c>
      <c r="R226">
        <f t="shared" si="13"/>
        <v>3.4</v>
      </c>
    </row>
    <row r="227" spans="1:18" x14ac:dyDescent="0.2">
      <c r="A227" t="s">
        <v>267</v>
      </c>
      <c r="B227" t="s">
        <v>296</v>
      </c>
      <c r="C227" t="s">
        <v>72</v>
      </c>
      <c r="D227" t="s">
        <v>356</v>
      </c>
      <c r="F227">
        <v>1</v>
      </c>
      <c r="H227">
        <v>2</v>
      </c>
      <c r="Q227">
        <f t="shared" ref="Q227:Q244" si="14">SUM(E227,G227,I227,K227,M227,O227)</f>
        <v>0</v>
      </c>
      <c r="R227">
        <f t="shared" ref="R227:R244" si="15">SUM(F227,H227,J227,L227,N227,P227)</f>
        <v>3</v>
      </c>
    </row>
    <row r="228" spans="1:18" x14ac:dyDescent="0.2">
      <c r="A228" t="s">
        <v>267</v>
      </c>
      <c r="B228" t="s">
        <v>296</v>
      </c>
      <c r="C228" t="s">
        <v>72</v>
      </c>
      <c r="D228" t="s">
        <v>394</v>
      </c>
      <c r="Q228">
        <f t="shared" si="14"/>
        <v>0</v>
      </c>
      <c r="R228">
        <f t="shared" si="15"/>
        <v>0</v>
      </c>
    </row>
    <row r="229" spans="1:18" x14ac:dyDescent="0.2">
      <c r="A229" t="s">
        <v>267</v>
      </c>
      <c r="B229" t="s">
        <v>296</v>
      </c>
      <c r="C229" t="s">
        <v>53</v>
      </c>
      <c r="D229" t="s">
        <v>395</v>
      </c>
      <c r="Q229">
        <f t="shared" si="14"/>
        <v>0</v>
      </c>
      <c r="R229">
        <f t="shared" si="15"/>
        <v>0</v>
      </c>
    </row>
    <row r="230" spans="1:18" x14ac:dyDescent="0.2">
      <c r="A230" t="s">
        <v>267</v>
      </c>
      <c r="B230" t="s">
        <v>296</v>
      </c>
      <c r="C230" t="s">
        <v>72</v>
      </c>
      <c r="D230" t="s">
        <v>398</v>
      </c>
      <c r="F230">
        <v>0.3</v>
      </c>
      <c r="Q230">
        <f t="shared" si="14"/>
        <v>0</v>
      </c>
      <c r="R230">
        <f t="shared" si="15"/>
        <v>0.3</v>
      </c>
    </row>
    <row r="231" spans="1:18" x14ac:dyDescent="0.2">
      <c r="A231" t="s">
        <v>267</v>
      </c>
      <c r="B231" t="s">
        <v>270</v>
      </c>
      <c r="C231" t="s">
        <v>271</v>
      </c>
      <c r="D231" t="s">
        <v>272</v>
      </c>
      <c r="Q231">
        <f t="shared" si="14"/>
        <v>0</v>
      </c>
      <c r="R231">
        <f t="shared" si="15"/>
        <v>0</v>
      </c>
    </row>
    <row r="232" spans="1:18" x14ac:dyDescent="0.2">
      <c r="A232" t="s">
        <v>267</v>
      </c>
      <c r="B232" t="s">
        <v>361</v>
      </c>
      <c r="C232" t="s">
        <v>53</v>
      </c>
      <c r="D232" t="s">
        <v>362</v>
      </c>
      <c r="F232">
        <v>0.4</v>
      </c>
      <c r="H232">
        <v>1</v>
      </c>
      <c r="Q232">
        <f t="shared" si="14"/>
        <v>0</v>
      </c>
      <c r="R232">
        <f t="shared" si="15"/>
        <v>1.4</v>
      </c>
    </row>
    <row r="233" spans="1:18" x14ac:dyDescent="0.2">
      <c r="A233" t="s">
        <v>267</v>
      </c>
      <c r="B233" t="s">
        <v>298</v>
      </c>
      <c r="C233" t="s">
        <v>299</v>
      </c>
      <c r="D233" t="s">
        <v>300</v>
      </c>
      <c r="Q233">
        <f t="shared" si="14"/>
        <v>0</v>
      </c>
      <c r="R233">
        <f t="shared" si="15"/>
        <v>0</v>
      </c>
    </row>
    <row r="234" spans="1:18" x14ac:dyDescent="0.2">
      <c r="A234" t="s">
        <v>267</v>
      </c>
      <c r="B234" t="s">
        <v>298</v>
      </c>
      <c r="C234" t="s">
        <v>72</v>
      </c>
      <c r="D234" t="s">
        <v>306</v>
      </c>
      <c r="H234">
        <v>3</v>
      </c>
      <c r="Q234">
        <f t="shared" si="14"/>
        <v>0</v>
      </c>
      <c r="R234">
        <f t="shared" si="15"/>
        <v>3</v>
      </c>
    </row>
    <row r="235" spans="1:18" x14ac:dyDescent="0.2">
      <c r="A235" t="s">
        <v>267</v>
      </c>
      <c r="B235" t="s">
        <v>298</v>
      </c>
      <c r="C235" t="s">
        <v>72</v>
      </c>
      <c r="D235" t="s">
        <v>308</v>
      </c>
      <c r="F235">
        <v>0.2</v>
      </c>
      <c r="J235">
        <v>1</v>
      </c>
      <c r="Q235">
        <f t="shared" si="14"/>
        <v>0</v>
      </c>
      <c r="R235">
        <f t="shared" si="15"/>
        <v>1.2</v>
      </c>
    </row>
    <row r="236" spans="1:18" x14ac:dyDescent="0.2">
      <c r="A236" t="s">
        <v>267</v>
      </c>
      <c r="B236" t="s">
        <v>298</v>
      </c>
      <c r="C236" t="s">
        <v>72</v>
      </c>
      <c r="D236" t="s">
        <v>307</v>
      </c>
      <c r="F236">
        <v>0.2</v>
      </c>
      <c r="J236">
        <v>1</v>
      </c>
      <c r="Q236">
        <f t="shared" si="14"/>
        <v>0</v>
      </c>
      <c r="R236">
        <f t="shared" si="15"/>
        <v>1.2</v>
      </c>
    </row>
    <row r="237" spans="1:18" x14ac:dyDescent="0.2">
      <c r="A237" t="s">
        <v>267</v>
      </c>
      <c r="B237" t="s">
        <v>298</v>
      </c>
      <c r="C237" t="s">
        <v>72</v>
      </c>
      <c r="D237" t="s">
        <v>320</v>
      </c>
      <c r="Q237">
        <f t="shared" si="14"/>
        <v>0</v>
      </c>
      <c r="R237">
        <f t="shared" si="15"/>
        <v>0</v>
      </c>
    </row>
    <row r="238" spans="1:18" x14ac:dyDescent="0.2">
      <c r="A238" t="s">
        <v>267</v>
      </c>
      <c r="B238" t="s">
        <v>298</v>
      </c>
      <c r="C238" t="s">
        <v>72</v>
      </c>
      <c r="D238" t="s">
        <v>321</v>
      </c>
      <c r="Q238">
        <f t="shared" si="14"/>
        <v>0</v>
      </c>
      <c r="R238">
        <f t="shared" si="15"/>
        <v>0</v>
      </c>
    </row>
    <row r="239" spans="1:18" x14ac:dyDescent="0.2">
      <c r="A239" t="s">
        <v>267</v>
      </c>
      <c r="B239" t="s">
        <v>298</v>
      </c>
      <c r="C239" t="s">
        <v>72</v>
      </c>
      <c r="D239" t="s">
        <v>322</v>
      </c>
      <c r="Q239">
        <f t="shared" si="14"/>
        <v>0</v>
      </c>
      <c r="R239">
        <f t="shared" si="15"/>
        <v>0</v>
      </c>
    </row>
    <row r="240" spans="1:18" x14ac:dyDescent="0.2">
      <c r="A240" t="s">
        <v>267</v>
      </c>
      <c r="B240" t="s">
        <v>298</v>
      </c>
      <c r="C240" t="s">
        <v>72</v>
      </c>
      <c r="D240" t="s">
        <v>383</v>
      </c>
      <c r="F240">
        <v>0.75</v>
      </c>
      <c r="Q240">
        <f t="shared" si="14"/>
        <v>0</v>
      </c>
      <c r="R240">
        <f t="shared" si="15"/>
        <v>0.75</v>
      </c>
    </row>
    <row r="241" spans="1:18" x14ac:dyDescent="0.2">
      <c r="A241" t="s">
        <v>267</v>
      </c>
      <c r="B241" t="s">
        <v>298</v>
      </c>
      <c r="C241" t="s">
        <v>72</v>
      </c>
      <c r="D241" t="s">
        <v>384</v>
      </c>
      <c r="Q241">
        <f t="shared" si="14"/>
        <v>0</v>
      </c>
      <c r="R241">
        <f t="shared" si="15"/>
        <v>0</v>
      </c>
    </row>
    <row r="242" spans="1:18" x14ac:dyDescent="0.2">
      <c r="A242" t="s">
        <v>267</v>
      </c>
      <c r="B242" t="s">
        <v>298</v>
      </c>
      <c r="C242" t="s">
        <v>72</v>
      </c>
      <c r="D242" t="s">
        <v>386</v>
      </c>
      <c r="Q242">
        <f t="shared" si="14"/>
        <v>0</v>
      </c>
      <c r="R242">
        <f t="shared" si="15"/>
        <v>0</v>
      </c>
    </row>
    <row r="243" spans="1:18" x14ac:dyDescent="0.2">
      <c r="A243" t="s">
        <v>267</v>
      </c>
      <c r="B243" t="s">
        <v>298</v>
      </c>
      <c r="C243" t="s">
        <v>72</v>
      </c>
      <c r="D243" t="s">
        <v>387</v>
      </c>
      <c r="Q243">
        <f t="shared" si="14"/>
        <v>0</v>
      </c>
      <c r="R243">
        <f t="shared" si="15"/>
        <v>0</v>
      </c>
    </row>
    <row r="244" spans="1:18" x14ac:dyDescent="0.2">
      <c r="A244" t="s">
        <v>267</v>
      </c>
      <c r="B244" t="s">
        <v>298</v>
      </c>
      <c r="C244" t="s">
        <v>72</v>
      </c>
      <c r="D244" t="s">
        <v>388</v>
      </c>
      <c r="Q244">
        <f t="shared" si="14"/>
        <v>0</v>
      </c>
      <c r="R244">
        <f t="shared" si="15"/>
        <v>0</v>
      </c>
    </row>
    <row r="245" spans="1:18" x14ac:dyDescent="0.2">
      <c r="A245" t="s">
        <v>267</v>
      </c>
      <c r="B245" t="s">
        <v>298</v>
      </c>
      <c r="C245" t="s">
        <v>413</v>
      </c>
      <c r="D245" t="s">
        <v>414</v>
      </c>
      <c r="F245">
        <v>1.8</v>
      </c>
    </row>
    <row r="246" spans="1:18" x14ac:dyDescent="0.2">
      <c r="A246" t="s">
        <v>267</v>
      </c>
      <c r="B246" t="s">
        <v>298</v>
      </c>
      <c r="C246" t="s">
        <v>72</v>
      </c>
      <c r="D246" t="s">
        <v>416</v>
      </c>
      <c r="Q246">
        <f t="shared" ref="Q246:Q277" si="16">SUM(E246,G246,I246,K246,M246,O246)</f>
        <v>0</v>
      </c>
      <c r="R246">
        <f t="shared" ref="R246:R277" si="17">SUM(F246,H246,J246,L246,N246,P246)</f>
        <v>0</v>
      </c>
    </row>
    <row r="247" spans="1:18" x14ac:dyDescent="0.2">
      <c r="A247" t="s">
        <v>267</v>
      </c>
      <c r="B247" t="s">
        <v>268</v>
      </c>
      <c r="C247" t="s">
        <v>72</v>
      </c>
      <c r="D247" t="s">
        <v>269</v>
      </c>
      <c r="F247">
        <v>0.9</v>
      </c>
      <c r="H247">
        <v>1</v>
      </c>
      <c r="Q247">
        <f t="shared" si="16"/>
        <v>0</v>
      </c>
      <c r="R247">
        <f t="shared" si="17"/>
        <v>1.9</v>
      </c>
    </row>
    <row r="248" spans="1:18" x14ac:dyDescent="0.2">
      <c r="A248" t="s">
        <v>267</v>
      </c>
      <c r="B248" t="s">
        <v>268</v>
      </c>
      <c r="C248" t="s">
        <v>72</v>
      </c>
      <c r="D248" t="s">
        <v>281</v>
      </c>
      <c r="Q248">
        <f t="shared" si="16"/>
        <v>0</v>
      </c>
      <c r="R248">
        <f t="shared" si="17"/>
        <v>0</v>
      </c>
    </row>
    <row r="249" spans="1:18" x14ac:dyDescent="0.2">
      <c r="A249" t="s">
        <v>267</v>
      </c>
      <c r="B249" t="s">
        <v>268</v>
      </c>
      <c r="C249" t="s">
        <v>72</v>
      </c>
      <c r="D249" t="s">
        <v>287</v>
      </c>
      <c r="Q249">
        <f t="shared" si="16"/>
        <v>0</v>
      </c>
      <c r="R249">
        <f t="shared" si="17"/>
        <v>0</v>
      </c>
    </row>
    <row r="250" spans="1:18" x14ac:dyDescent="0.2">
      <c r="A250" t="s">
        <v>267</v>
      </c>
      <c r="B250" t="s">
        <v>268</v>
      </c>
      <c r="C250" t="s">
        <v>72</v>
      </c>
      <c r="D250" t="s">
        <v>313</v>
      </c>
      <c r="F250">
        <v>0.5</v>
      </c>
      <c r="Q250">
        <f t="shared" si="16"/>
        <v>0</v>
      </c>
      <c r="R250">
        <f t="shared" si="17"/>
        <v>0.5</v>
      </c>
    </row>
    <row r="251" spans="1:18" x14ac:dyDescent="0.2">
      <c r="A251" t="s">
        <v>267</v>
      </c>
      <c r="B251" t="s">
        <v>268</v>
      </c>
      <c r="C251" t="s">
        <v>72</v>
      </c>
      <c r="D251" t="s">
        <v>419</v>
      </c>
      <c r="Q251">
        <f t="shared" si="16"/>
        <v>0</v>
      </c>
      <c r="R251">
        <f t="shared" si="17"/>
        <v>0</v>
      </c>
    </row>
    <row r="252" spans="1:18" x14ac:dyDescent="0.2">
      <c r="A252" t="s">
        <v>267</v>
      </c>
      <c r="B252" t="s">
        <v>268</v>
      </c>
      <c r="C252" t="s">
        <v>72</v>
      </c>
      <c r="D252" t="s">
        <v>315</v>
      </c>
      <c r="F252">
        <v>0.4</v>
      </c>
      <c r="Q252">
        <f t="shared" si="16"/>
        <v>0</v>
      </c>
      <c r="R252">
        <f t="shared" si="17"/>
        <v>0.4</v>
      </c>
    </row>
    <row r="253" spans="1:18" x14ac:dyDescent="0.2">
      <c r="A253" t="s">
        <v>267</v>
      </c>
      <c r="B253" t="s">
        <v>268</v>
      </c>
      <c r="C253" t="s">
        <v>72</v>
      </c>
      <c r="D253" t="s">
        <v>334</v>
      </c>
      <c r="F253">
        <v>0.9</v>
      </c>
      <c r="Q253">
        <f t="shared" si="16"/>
        <v>0</v>
      </c>
      <c r="R253">
        <f t="shared" si="17"/>
        <v>0.9</v>
      </c>
    </row>
    <row r="254" spans="1:18" x14ac:dyDescent="0.2">
      <c r="A254" t="s">
        <v>267</v>
      </c>
      <c r="B254" t="s">
        <v>268</v>
      </c>
      <c r="C254" t="s">
        <v>72</v>
      </c>
      <c r="D254" t="s">
        <v>415</v>
      </c>
      <c r="Q254">
        <f t="shared" si="16"/>
        <v>0</v>
      </c>
      <c r="R254">
        <f t="shared" si="17"/>
        <v>0</v>
      </c>
    </row>
    <row r="255" spans="1:18" x14ac:dyDescent="0.2">
      <c r="A255" t="s">
        <v>267</v>
      </c>
      <c r="B255" t="s">
        <v>268</v>
      </c>
      <c r="C255" t="s">
        <v>72</v>
      </c>
      <c r="D255" t="s">
        <v>353</v>
      </c>
      <c r="Q255">
        <f t="shared" si="16"/>
        <v>0</v>
      </c>
      <c r="R255">
        <f t="shared" si="17"/>
        <v>0</v>
      </c>
    </row>
    <row r="256" spans="1:18" x14ac:dyDescent="0.2">
      <c r="A256" t="s">
        <v>267</v>
      </c>
      <c r="B256" t="s">
        <v>268</v>
      </c>
      <c r="C256" t="s">
        <v>72</v>
      </c>
      <c r="D256" t="s">
        <v>404</v>
      </c>
      <c r="Q256">
        <f t="shared" si="16"/>
        <v>0</v>
      </c>
      <c r="R256">
        <f t="shared" si="17"/>
        <v>0</v>
      </c>
    </row>
    <row r="257" spans="1:18" x14ac:dyDescent="0.2">
      <c r="A257" t="s">
        <v>267</v>
      </c>
      <c r="B257" t="s">
        <v>278</v>
      </c>
      <c r="C257" t="s">
        <v>72</v>
      </c>
      <c r="D257" t="s">
        <v>279</v>
      </c>
      <c r="Q257">
        <f t="shared" si="16"/>
        <v>0</v>
      </c>
      <c r="R257">
        <f t="shared" si="17"/>
        <v>0</v>
      </c>
    </row>
    <row r="258" spans="1:18" x14ac:dyDescent="0.2">
      <c r="A258" t="s">
        <v>267</v>
      </c>
      <c r="B258" t="s">
        <v>278</v>
      </c>
      <c r="C258" t="s">
        <v>53</v>
      </c>
      <c r="D258" t="s">
        <v>282</v>
      </c>
      <c r="Q258">
        <f t="shared" si="16"/>
        <v>0</v>
      </c>
      <c r="R258">
        <f t="shared" si="17"/>
        <v>0</v>
      </c>
    </row>
    <row r="259" spans="1:18" x14ac:dyDescent="0.2">
      <c r="A259" t="s">
        <v>267</v>
      </c>
      <c r="B259" t="s">
        <v>278</v>
      </c>
      <c r="C259" t="s">
        <v>311</v>
      </c>
      <c r="D259" t="s">
        <v>312</v>
      </c>
      <c r="Q259">
        <f t="shared" si="16"/>
        <v>0</v>
      </c>
      <c r="R259">
        <f t="shared" si="17"/>
        <v>0</v>
      </c>
    </row>
    <row r="260" spans="1:18" x14ac:dyDescent="0.2">
      <c r="A260" t="s">
        <v>267</v>
      </c>
      <c r="B260" t="s">
        <v>278</v>
      </c>
      <c r="C260" t="s">
        <v>72</v>
      </c>
      <c r="D260" t="s">
        <v>327</v>
      </c>
      <c r="Q260">
        <f t="shared" si="16"/>
        <v>0</v>
      </c>
      <c r="R260">
        <f t="shared" si="17"/>
        <v>0</v>
      </c>
    </row>
    <row r="261" spans="1:18" x14ac:dyDescent="0.2">
      <c r="A261" t="s">
        <v>267</v>
      </c>
      <c r="B261" t="s">
        <v>278</v>
      </c>
      <c r="C261" t="s">
        <v>72</v>
      </c>
      <c r="D261" t="s">
        <v>328</v>
      </c>
      <c r="Q261">
        <f t="shared" si="16"/>
        <v>0</v>
      </c>
      <c r="R261">
        <f t="shared" si="17"/>
        <v>0</v>
      </c>
    </row>
    <row r="262" spans="1:18" x14ac:dyDescent="0.2">
      <c r="A262" t="s">
        <v>267</v>
      </c>
      <c r="B262" t="s">
        <v>278</v>
      </c>
      <c r="C262" t="s">
        <v>311</v>
      </c>
      <c r="D262" t="s">
        <v>329</v>
      </c>
      <c r="Q262">
        <f t="shared" si="16"/>
        <v>0</v>
      </c>
      <c r="R262">
        <f t="shared" si="17"/>
        <v>0</v>
      </c>
    </row>
    <row r="263" spans="1:18" x14ac:dyDescent="0.2">
      <c r="A263" t="s">
        <v>267</v>
      </c>
      <c r="B263" t="s">
        <v>278</v>
      </c>
      <c r="C263" t="s">
        <v>311</v>
      </c>
      <c r="D263" t="s">
        <v>330</v>
      </c>
      <c r="Q263">
        <f t="shared" si="16"/>
        <v>0</v>
      </c>
      <c r="R263">
        <f t="shared" si="17"/>
        <v>0</v>
      </c>
    </row>
    <row r="264" spans="1:18" x14ac:dyDescent="0.2">
      <c r="A264" t="s">
        <v>267</v>
      </c>
      <c r="B264" t="s">
        <v>278</v>
      </c>
      <c r="C264" t="s">
        <v>72</v>
      </c>
      <c r="D264" t="s">
        <v>335</v>
      </c>
      <c r="Q264">
        <f t="shared" si="16"/>
        <v>0</v>
      </c>
      <c r="R264">
        <f t="shared" si="17"/>
        <v>0</v>
      </c>
    </row>
    <row r="265" spans="1:18" x14ac:dyDescent="0.2">
      <c r="A265" t="s">
        <v>267</v>
      </c>
      <c r="B265" t="s">
        <v>278</v>
      </c>
      <c r="C265" t="s">
        <v>336</v>
      </c>
      <c r="D265" t="s">
        <v>337</v>
      </c>
      <c r="Q265">
        <f t="shared" si="16"/>
        <v>0</v>
      </c>
      <c r="R265">
        <f t="shared" si="17"/>
        <v>0</v>
      </c>
    </row>
    <row r="266" spans="1:18" x14ac:dyDescent="0.2">
      <c r="A266" t="s">
        <v>267</v>
      </c>
      <c r="B266" t="s">
        <v>278</v>
      </c>
      <c r="C266" t="s">
        <v>53</v>
      </c>
      <c r="D266" t="s">
        <v>351</v>
      </c>
      <c r="F266">
        <v>1.1000000000000001</v>
      </c>
      <c r="Q266">
        <f t="shared" si="16"/>
        <v>0</v>
      </c>
      <c r="R266">
        <f t="shared" si="17"/>
        <v>1.1000000000000001</v>
      </c>
    </row>
    <row r="267" spans="1:18" x14ac:dyDescent="0.2">
      <c r="A267" t="s">
        <v>267</v>
      </c>
      <c r="B267" t="s">
        <v>278</v>
      </c>
      <c r="C267" t="s">
        <v>72</v>
      </c>
      <c r="D267" t="s">
        <v>352</v>
      </c>
      <c r="Q267">
        <f t="shared" si="16"/>
        <v>0</v>
      </c>
      <c r="R267">
        <f t="shared" si="17"/>
        <v>0</v>
      </c>
    </row>
    <row r="268" spans="1:18" x14ac:dyDescent="0.2">
      <c r="A268" t="s">
        <v>267</v>
      </c>
      <c r="B268" t="s">
        <v>278</v>
      </c>
      <c r="C268" t="s">
        <v>53</v>
      </c>
      <c r="D268" t="s">
        <v>357</v>
      </c>
      <c r="Q268">
        <f t="shared" si="16"/>
        <v>0</v>
      </c>
      <c r="R268">
        <f t="shared" si="17"/>
        <v>0</v>
      </c>
    </row>
    <row r="269" spans="1:18" x14ac:dyDescent="0.2">
      <c r="A269" t="s">
        <v>267</v>
      </c>
      <c r="B269" t="s">
        <v>278</v>
      </c>
      <c r="C269" t="s">
        <v>80</v>
      </c>
      <c r="D269" t="s">
        <v>378</v>
      </c>
      <c r="Q269">
        <f t="shared" si="16"/>
        <v>0</v>
      </c>
      <c r="R269">
        <f t="shared" si="17"/>
        <v>0</v>
      </c>
    </row>
    <row r="270" spans="1:18" x14ac:dyDescent="0.2">
      <c r="A270" t="s">
        <v>267</v>
      </c>
      <c r="B270" t="s">
        <v>278</v>
      </c>
      <c r="C270" t="s">
        <v>53</v>
      </c>
      <c r="D270" t="s">
        <v>401</v>
      </c>
      <c r="Q270">
        <f t="shared" si="16"/>
        <v>0</v>
      </c>
      <c r="R270">
        <f t="shared" si="17"/>
        <v>0</v>
      </c>
    </row>
    <row r="271" spans="1:18" x14ac:dyDescent="0.2">
      <c r="A271" t="s">
        <v>267</v>
      </c>
      <c r="B271" t="s">
        <v>278</v>
      </c>
      <c r="C271" t="s">
        <v>53</v>
      </c>
      <c r="D271" t="s">
        <v>406</v>
      </c>
      <c r="F271">
        <v>0.1</v>
      </c>
      <c r="Q271">
        <f t="shared" si="16"/>
        <v>0</v>
      </c>
      <c r="R271">
        <f t="shared" si="17"/>
        <v>0.1</v>
      </c>
    </row>
    <row r="272" spans="1:18" x14ac:dyDescent="0.2">
      <c r="A272" t="s">
        <v>420</v>
      </c>
      <c r="B272" t="s">
        <v>421</v>
      </c>
      <c r="C272" t="s">
        <v>428</v>
      </c>
      <c r="D272" t="s">
        <v>429</v>
      </c>
      <c r="Q272">
        <f t="shared" si="16"/>
        <v>0</v>
      </c>
      <c r="R272">
        <f t="shared" si="17"/>
        <v>0</v>
      </c>
    </row>
    <row r="273" spans="1:18" x14ac:dyDescent="0.2">
      <c r="A273" t="s">
        <v>420</v>
      </c>
      <c r="B273" t="s">
        <v>421</v>
      </c>
      <c r="C273" t="s">
        <v>426</v>
      </c>
      <c r="D273" t="s">
        <v>427</v>
      </c>
      <c r="Q273">
        <f t="shared" si="16"/>
        <v>0</v>
      </c>
      <c r="R273">
        <f t="shared" si="17"/>
        <v>0</v>
      </c>
    </row>
    <row r="274" spans="1:18" x14ac:dyDescent="0.2">
      <c r="A274" t="s">
        <v>420</v>
      </c>
      <c r="B274" t="s">
        <v>421</v>
      </c>
      <c r="C274" t="s">
        <v>424</v>
      </c>
      <c r="D274" t="s">
        <v>425</v>
      </c>
      <c r="Q274">
        <f t="shared" si="16"/>
        <v>0</v>
      </c>
      <c r="R274">
        <f t="shared" si="17"/>
        <v>0</v>
      </c>
    </row>
    <row r="275" spans="1:18" x14ac:dyDescent="0.2">
      <c r="A275" t="s">
        <v>420</v>
      </c>
      <c r="B275" t="s">
        <v>421</v>
      </c>
      <c r="C275" t="s">
        <v>422</v>
      </c>
      <c r="D275" t="s">
        <v>423</v>
      </c>
      <c r="Q275">
        <f t="shared" si="16"/>
        <v>0</v>
      </c>
      <c r="R275">
        <f t="shared" si="17"/>
        <v>0</v>
      </c>
    </row>
    <row r="276" spans="1:18" x14ac:dyDescent="0.2">
      <c r="A276" t="s">
        <v>430</v>
      </c>
      <c r="B276" t="s">
        <v>431</v>
      </c>
      <c r="C276" t="s">
        <v>466</v>
      </c>
      <c r="D276" t="s">
        <v>467</v>
      </c>
      <c r="Q276">
        <f t="shared" si="16"/>
        <v>0</v>
      </c>
      <c r="R276">
        <f t="shared" si="17"/>
        <v>0</v>
      </c>
    </row>
    <row r="277" spans="1:18" x14ac:dyDescent="0.2">
      <c r="A277" t="s">
        <v>430</v>
      </c>
      <c r="B277" t="s">
        <v>431</v>
      </c>
      <c r="C277" t="s">
        <v>432</v>
      </c>
      <c r="D277" t="s">
        <v>419</v>
      </c>
      <c r="Q277">
        <f t="shared" si="16"/>
        <v>0</v>
      </c>
      <c r="R277">
        <f t="shared" si="17"/>
        <v>0</v>
      </c>
    </row>
    <row r="278" spans="1:18" x14ac:dyDescent="0.2">
      <c r="A278" t="s">
        <v>430</v>
      </c>
      <c r="B278" t="s">
        <v>431</v>
      </c>
      <c r="C278" t="s">
        <v>432</v>
      </c>
      <c r="D278" t="s">
        <v>464</v>
      </c>
      <c r="Q278">
        <f t="shared" ref="Q278:Q303" si="18">SUM(E278,G278,I278,K278,M278,O278)</f>
        <v>0</v>
      </c>
      <c r="R278">
        <f t="shared" ref="R278:R303" si="19">SUM(F278,H278,J278,L278,N278,P278)</f>
        <v>0</v>
      </c>
    </row>
    <row r="279" spans="1:18" x14ac:dyDescent="0.2">
      <c r="A279" t="s">
        <v>430</v>
      </c>
      <c r="B279" t="s">
        <v>431</v>
      </c>
      <c r="C279" t="s">
        <v>432</v>
      </c>
      <c r="D279" t="s">
        <v>463</v>
      </c>
      <c r="Q279">
        <f t="shared" si="18"/>
        <v>0</v>
      </c>
      <c r="R279">
        <f t="shared" si="19"/>
        <v>0</v>
      </c>
    </row>
    <row r="280" spans="1:18" x14ac:dyDescent="0.2">
      <c r="A280" t="s">
        <v>430</v>
      </c>
      <c r="B280" t="s">
        <v>431</v>
      </c>
      <c r="C280" t="s">
        <v>432</v>
      </c>
      <c r="D280" t="s">
        <v>462</v>
      </c>
      <c r="Q280">
        <f t="shared" si="18"/>
        <v>0</v>
      </c>
      <c r="R280">
        <f t="shared" si="19"/>
        <v>0</v>
      </c>
    </row>
    <row r="281" spans="1:18" x14ac:dyDescent="0.2">
      <c r="A281" t="s">
        <v>430</v>
      </c>
      <c r="B281" t="s">
        <v>431</v>
      </c>
      <c r="C281" t="s">
        <v>359</v>
      </c>
      <c r="D281" t="s">
        <v>461</v>
      </c>
      <c r="Q281">
        <f t="shared" si="18"/>
        <v>0</v>
      </c>
      <c r="R281">
        <f t="shared" si="19"/>
        <v>0</v>
      </c>
    </row>
    <row r="282" spans="1:18" x14ac:dyDescent="0.2">
      <c r="A282" t="s">
        <v>430</v>
      </c>
      <c r="B282" t="s">
        <v>431</v>
      </c>
      <c r="C282" t="s">
        <v>445</v>
      </c>
      <c r="D282" t="s">
        <v>460</v>
      </c>
      <c r="Q282">
        <f t="shared" si="18"/>
        <v>0</v>
      </c>
      <c r="R282">
        <f t="shared" si="19"/>
        <v>0</v>
      </c>
    </row>
    <row r="283" spans="1:18" x14ac:dyDescent="0.2">
      <c r="A283" t="s">
        <v>430</v>
      </c>
      <c r="B283" t="s">
        <v>431</v>
      </c>
      <c r="C283" t="s">
        <v>438</v>
      </c>
      <c r="D283" t="s">
        <v>459</v>
      </c>
      <c r="Q283">
        <f t="shared" si="18"/>
        <v>0</v>
      </c>
      <c r="R283">
        <f t="shared" si="19"/>
        <v>0</v>
      </c>
    </row>
    <row r="284" spans="1:18" x14ac:dyDescent="0.2">
      <c r="A284" t="s">
        <v>430</v>
      </c>
      <c r="B284" t="s">
        <v>431</v>
      </c>
      <c r="C284" t="s">
        <v>432</v>
      </c>
      <c r="D284" t="s">
        <v>458</v>
      </c>
      <c r="Q284">
        <f t="shared" si="18"/>
        <v>0</v>
      </c>
      <c r="R284">
        <f t="shared" si="19"/>
        <v>0</v>
      </c>
    </row>
    <row r="285" spans="1:18" x14ac:dyDescent="0.2">
      <c r="A285" t="s">
        <v>430</v>
      </c>
      <c r="B285" t="s">
        <v>431</v>
      </c>
      <c r="C285" t="s">
        <v>438</v>
      </c>
      <c r="D285" t="s">
        <v>457</v>
      </c>
      <c r="Q285">
        <f t="shared" si="18"/>
        <v>0</v>
      </c>
      <c r="R285">
        <f t="shared" si="19"/>
        <v>0</v>
      </c>
    </row>
    <row r="286" spans="1:18" x14ac:dyDescent="0.2">
      <c r="A286" t="s">
        <v>430</v>
      </c>
      <c r="B286" t="s">
        <v>431</v>
      </c>
      <c r="C286" t="s">
        <v>438</v>
      </c>
      <c r="D286" t="s">
        <v>456</v>
      </c>
      <c r="Q286">
        <f t="shared" si="18"/>
        <v>0</v>
      </c>
      <c r="R286">
        <f t="shared" si="19"/>
        <v>0</v>
      </c>
    </row>
    <row r="287" spans="1:18" x14ac:dyDescent="0.2">
      <c r="A287" t="s">
        <v>430</v>
      </c>
      <c r="B287" t="s">
        <v>431</v>
      </c>
      <c r="C287" t="s">
        <v>432</v>
      </c>
      <c r="D287" t="s">
        <v>455</v>
      </c>
      <c r="Q287">
        <f t="shared" si="18"/>
        <v>0</v>
      </c>
      <c r="R287">
        <f t="shared" si="19"/>
        <v>0</v>
      </c>
    </row>
    <row r="288" spans="1:18" x14ac:dyDescent="0.2">
      <c r="A288" t="s">
        <v>430</v>
      </c>
      <c r="B288" t="s">
        <v>431</v>
      </c>
      <c r="C288" t="s">
        <v>432</v>
      </c>
      <c r="D288" t="s">
        <v>454</v>
      </c>
      <c r="Q288">
        <f t="shared" si="18"/>
        <v>0</v>
      </c>
      <c r="R288">
        <f t="shared" si="19"/>
        <v>0</v>
      </c>
    </row>
    <row r="289" spans="1:18" x14ac:dyDescent="0.2">
      <c r="A289" t="s">
        <v>430</v>
      </c>
      <c r="B289" t="s">
        <v>431</v>
      </c>
      <c r="C289" t="s">
        <v>432</v>
      </c>
      <c r="D289" t="s">
        <v>453</v>
      </c>
      <c r="Q289">
        <f t="shared" si="18"/>
        <v>0</v>
      </c>
      <c r="R289">
        <f t="shared" si="19"/>
        <v>0</v>
      </c>
    </row>
    <row r="290" spans="1:18" x14ac:dyDescent="0.2">
      <c r="A290" t="s">
        <v>430</v>
      </c>
      <c r="B290" t="s">
        <v>431</v>
      </c>
      <c r="C290" t="s">
        <v>432</v>
      </c>
      <c r="D290" t="s">
        <v>452</v>
      </c>
      <c r="Q290">
        <f t="shared" si="18"/>
        <v>0</v>
      </c>
      <c r="R290">
        <f t="shared" si="19"/>
        <v>0</v>
      </c>
    </row>
    <row r="291" spans="1:18" x14ac:dyDescent="0.2">
      <c r="A291" t="s">
        <v>430</v>
      </c>
      <c r="B291" t="s">
        <v>431</v>
      </c>
      <c r="C291" t="s">
        <v>438</v>
      </c>
      <c r="D291" t="s">
        <v>451</v>
      </c>
      <c r="F291">
        <v>2</v>
      </c>
      <c r="Q291">
        <f t="shared" si="18"/>
        <v>0</v>
      </c>
      <c r="R291">
        <f t="shared" si="19"/>
        <v>2</v>
      </c>
    </row>
    <row r="292" spans="1:18" x14ac:dyDescent="0.2">
      <c r="A292" t="s">
        <v>430</v>
      </c>
      <c r="B292" t="s">
        <v>431</v>
      </c>
      <c r="C292" t="s">
        <v>438</v>
      </c>
      <c r="D292" t="s">
        <v>451</v>
      </c>
      <c r="Q292">
        <f t="shared" si="18"/>
        <v>0</v>
      </c>
      <c r="R292">
        <f t="shared" si="19"/>
        <v>0</v>
      </c>
    </row>
    <row r="293" spans="1:18" x14ac:dyDescent="0.2">
      <c r="A293" t="s">
        <v>430</v>
      </c>
      <c r="B293" t="s">
        <v>431</v>
      </c>
      <c r="C293" t="s">
        <v>432</v>
      </c>
      <c r="D293" t="s">
        <v>450</v>
      </c>
      <c r="Q293">
        <f t="shared" si="18"/>
        <v>0</v>
      </c>
      <c r="R293">
        <f t="shared" si="19"/>
        <v>0</v>
      </c>
    </row>
    <row r="294" spans="1:18" x14ac:dyDescent="0.2">
      <c r="A294" t="s">
        <v>430</v>
      </c>
      <c r="B294" t="s">
        <v>431</v>
      </c>
      <c r="C294" t="s">
        <v>438</v>
      </c>
      <c r="D294" t="s">
        <v>449</v>
      </c>
      <c r="Q294">
        <f t="shared" si="18"/>
        <v>0</v>
      </c>
      <c r="R294">
        <f t="shared" si="19"/>
        <v>0</v>
      </c>
    </row>
    <row r="295" spans="1:18" x14ac:dyDescent="0.2">
      <c r="A295" t="s">
        <v>430</v>
      </c>
      <c r="B295" t="s">
        <v>431</v>
      </c>
      <c r="C295" t="s">
        <v>432</v>
      </c>
      <c r="D295" t="s">
        <v>448</v>
      </c>
      <c r="Q295">
        <f t="shared" si="18"/>
        <v>0</v>
      </c>
      <c r="R295">
        <f t="shared" si="19"/>
        <v>0</v>
      </c>
    </row>
    <row r="296" spans="1:18" x14ac:dyDescent="0.2">
      <c r="A296" t="s">
        <v>430</v>
      </c>
      <c r="B296" t="s">
        <v>431</v>
      </c>
      <c r="C296" t="s">
        <v>432</v>
      </c>
      <c r="D296" t="s">
        <v>447</v>
      </c>
      <c r="Q296">
        <f t="shared" si="18"/>
        <v>0</v>
      </c>
      <c r="R296">
        <f t="shared" si="19"/>
        <v>0</v>
      </c>
    </row>
    <row r="297" spans="1:18" x14ac:dyDescent="0.2">
      <c r="A297" t="s">
        <v>430</v>
      </c>
      <c r="B297" t="s">
        <v>431</v>
      </c>
      <c r="C297" t="s">
        <v>445</v>
      </c>
      <c r="D297" t="s">
        <v>446</v>
      </c>
      <c r="Q297">
        <f t="shared" si="18"/>
        <v>0</v>
      </c>
      <c r="R297">
        <f t="shared" si="19"/>
        <v>0</v>
      </c>
    </row>
    <row r="298" spans="1:18" x14ac:dyDescent="0.2">
      <c r="A298" t="s">
        <v>430</v>
      </c>
      <c r="B298" t="s">
        <v>431</v>
      </c>
      <c r="C298" t="s">
        <v>359</v>
      </c>
      <c r="D298" t="s">
        <v>444</v>
      </c>
      <c r="Q298">
        <f t="shared" si="18"/>
        <v>0</v>
      </c>
      <c r="R298">
        <f t="shared" si="19"/>
        <v>0</v>
      </c>
    </row>
    <row r="299" spans="1:18" x14ac:dyDescent="0.2">
      <c r="A299" t="s">
        <v>430</v>
      </c>
      <c r="B299" t="s">
        <v>431</v>
      </c>
      <c r="C299" t="s">
        <v>442</v>
      </c>
      <c r="D299" t="s">
        <v>443</v>
      </c>
      <c r="Q299">
        <f t="shared" si="18"/>
        <v>0</v>
      </c>
      <c r="R299">
        <f t="shared" si="19"/>
        <v>0</v>
      </c>
    </row>
    <row r="300" spans="1:18" x14ac:dyDescent="0.2">
      <c r="A300" t="s">
        <v>430</v>
      </c>
      <c r="B300" t="s">
        <v>431</v>
      </c>
      <c r="C300" t="s">
        <v>432</v>
      </c>
      <c r="D300" t="s">
        <v>441</v>
      </c>
      <c r="F300">
        <v>11</v>
      </c>
      <c r="G300">
        <v>1</v>
      </c>
      <c r="I300">
        <v>3</v>
      </c>
      <c r="Q300">
        <f t="shared" si="18"/>
        <v>4</v>
      </c>
      <c r="R300">
        <f t="shared" si="19"/>
        <v>11</v>
      </c>
    </row>
    <row r="301" spans="1:18" x14ac:dyDescent="0.2">
      <c r="A301" t="s">
        <v>430</v>
      </c>
      <c r="B301" t="s">
        <v>431</v>
      </c>
      <c r="C301" t="s">
        <v>359</v>
      </c>
      <c r="D301" t="s">
        <v>440</v>
      </c>
      <c r="Q301">
        <f t="shared" si="18"/>
        <v>0</v>
      </c>
      <c r="R301">
        <f t="shared" si="19"/>
        <v>0</v>
      </c>
    </row>
    <row r="302" spans="1:18" x14ac:dyDescent="0.2">
      <c r="A302" t="s">
        <v>430</v>
      </c>
      <c r="B302" t="s">
        <v>431</v>
      </c>
      <c r="C302" t="s">
        <v>438</v>
      </c>
      <c r="D302" t="s">
        <v>439</v>
      </c>
      <c r="Q302">
        <f t="shared" si="18"/>
        <v>0</v>
      </c>
      <c r="R302">
        <f t="shared" si="19"/>
        <v>0</v>
      </c>
    </row>
    <row r="303" spans="1:18" x14ac:dyDescent="0.2">
      <c r="A303" t="s">
        <v>430</v>
      </c>
      <c r="B303" t="s">
        <v>431</v>
      </c>
      <c r="C303" t="s">
        <v>432</v>
      </c>
      <c r="D303" t="s">
        <v>437</v>
      </c>
      <c r="Q303">
        <f t="shared" si="18"/>
        <v>0</v>
      </c>
      <c r="R303">
        <f t="shared" si="19"/>
        <v>0</v>
      </c>
    </row>
    <row r="304" spans="1:18" x14ac:dyDescent="0.2">
      <c r="A304" t="s">
        <v>430</v>
      </c>
      <c r="B304" t="s">
        <v>431</v>
      </c>
      <c r="C304" t="s">
        <v>435</v>
      </c>
      <c r="D304" t="s">
        <v>436</v>
      </c>
      <c r="F304">
        <v>2</v>
      </c>
      <c r="Q304">
        <f t="shared" ref="Q304:Q335" si="20">SUM(E304,G304,I304,K304,M304,O304)</f>
        <v>0</v>
      </c>
      <c r="R304" t="e">
        <f>SUM(#REF!,H304,J304,L304,N304,P304)</f>
        <v>#REF!</v>
      </c>
    </row>
    <row r="305" spans="1:18" x14ac:dyDescent="0.2">
      <c r="A305" t="s">
        <v>430</v>
      </c>
      <c r="B305" t="s">
        <v>431</v>
      </c>
      <c r="C305" t="s">
        <v>432</v>
      </c>
      <c r="D305" t="s">
        <v>434</v>
      </c>
      <c r="Q305">
        <f t="shared" si="20"/>
        <v>0</v>
      </c>
      <c r="R305">
        <f>SUM(F304,H305,J305,L305,N305,P305)</f>
        <v>2</v>
      </c>
    </row>
    <row r="306" spans="1:18" x14ac:dyDescent="0.2">
      <c r="A306" t="s">
        <v>430</v>
      </c>
      <c r="B306" t="s">
        <v>431</v>
      </c>
      <c r="C306" t="s">
        <v>432</v>
      </c>
      <c r="D306" t="s">
        <v>433</v>
      </c>
      <c r="Q306">
        <f t="shared" si="20"/>
        <v>0</v>
      </c>
      <c r="R306">
        <f t="shared" ref="R306:R337" si="21">SUM(F306,H306,J306,L306,N306,P306)</f>
        <v>0</v>
      </c>
    </row>
    <row r="307" spans="1:18" x14ac:dyDescent="0.2">
      <c r="A307" t="s">
        <v>430</v>
      </c>
      <c r="B307" t="s">
        <v>468</v>
      </c>
      <c r="C307" t="s">
        <v>432</v>
      </c>
      <c r="D307" t="s">
        <v>481</v>
      </c>
      <c r="Q307">
        <f t="shared" si="20"/>
        <v>0</v>
      </c>
      <c r="R307">
        <f t="shared" si="21"/>
        <v>0</v>
      </c>
    </row>
    <row r="308" spans="1:18" x14ac:dyDescent="0.2">
      <c r="A308" t="s">
        <v>430</v>
      </c>
      <c r="B308" t="s">
        <v>468</v>
      </c>
      <c r="C308" t="s">
        <v>479</v>
      </c>
      <c r="D308" t="s">
        <v>480</v>
      </c>
      <c r="Q308">
        <f t="shared" si="20"/>
        <v>0</v>
      </c>
      <c r="R308">
        <f t="shared" si="21"/>
        <v>0</v>
      </c>
    </row>
    <row r="309" spans="1:18" x14ac:dyDescent="0.2">
      <c r="A309" t="s">
        <v>430</v>
      </c>
      <c r="B309" t="s">
        <v>468</v>
      </c>
      <c r="C309" t="s">
        <v>435</v>
      </c>
      <c r="D309" t="s">
        <v>477</v>
      </c>
      <c r="Q309">
        <f t="shared" si="20"/>
        <v>0</v>
      </c>
      <c r="R309">
        <f t="shared" si="21"/>
        <v>0</v>
      </c>
    </row>
    <row r="310" spans="1:18" x14ac:dyDescent="0.2">
      <c r="A310" t="s">
        <v>430</v>
      </c>
      <c r="B310" t="s">
        <v>468</v>
      </c>
      <c r="C310" t="s">
        <v>432</v>
      </c>
      <c r="D310" t="s">
        <v>476</v>
      </c>
      <c r="Q310">
        <f t="shared" si="20"/>
        <v>0</v>
      </c>
      <c r="R310">
        <f t="shared" si="21"/>
        <v>0</v>
      </c>
    </row>
    <row r="311" spans="1:18" x14ac:dyDescent="0.2">
      <c r="A311" t="s">
        <v>430</v>
      </c>
      <c r="B311" t="s">
        <v>468</v>
      </c>
      <c r="C311" t="s">
        <v>432</v>
      </c>
      <c r="D311" t="s">
        <v>475</v>
      </c>
      <c r="Q311">
        <f t="shared" si="20"/>
        <v>0</v>
      </c>
      <c r="R311">
        <f t="shared" si="21"/>
        <v>0</v>
      </c>
    </row>
    <row r="312" spans="1:18" x14ac:dyDescent="0.2">
      <c r="A312" t="s">
        <v>430</v>
      </c>
      <c r="B312" t="s">
        <v>468</v>
      </c>
      <c r="C312" t="s">
        <v>432</v>
      </c>
      <c r="D312" t="s">
        <v>474</v>
      </c>
      <c r="H312">
        <v>2</v>
      </c>
      <c r="Q312">
        <f t="shared" si="20"/>
        <v>0</v>
      </c>
      <c r="R312">
        <f t="shared" si="21"/>
        <v>2</v>
      </c>
    </row>
    <row r="313" spans="1:18" x14ac:dyDescent="0.2">
      <c r="A313" t="s">
        <v>430</v>
      </c>
      <c r="B313" t="s">
        <v>468</v>
      </c>
      <c r="C313" t="s">
        <v>438</v>
      </c>
      <c r="D313" t="s">
        <v>472</v>
      </c>
      <c r="F313">
        <v>2</v>
      </c>
      <c r="Q313">
        <f t="shared" si="20"/>
        <v>0</v>
      </c>
      <c r="R313">
        <f t="shared" si="21"/>
        <v>2</v>
      </c>
    </row>
    <row r="314" spans="1:18" x14ac:dyDescent="0.2">
      <c r="A314" t="s">
        <v>430</v>
      </c>
      <c r="B314" t="s">
        <v>468</v>
      </c>
      <c r="C314" t="s">
        <v>432</v>
      </c>
      <c r="D314" t="s">
        <v>470</v>
      </c>
      <c r="Q314">
        <f t="shared" si="20"/>
        <v>0</v>
      </c>
      <c r="R314">
        <f t="shared" si="21"/>
        <v>0</v>
      </c>
    </row>
    <row r="315" spans="1:18" x14ac:dyDescent="0.2">
      <c r="A315" t="s">
        <v>430</v>
      </c>
      <c r="B315" t="s">
        <v>468</v>
      </c>
      <c r="C315" t="s">
        <v>432</v>
      </c>
      <c r="D315" t="s">
        <v>471</v>
      </c>
      <c r="Q315">
        <f t="shared" si="20"/>
        <v>0</v>
      </c>
      <c r="R315">
        <f t="shared" si="21"/>
        <v>0</v>
      </c>
    </row>
    <row r="316" spans="1:18" x14ac:dyDescent="0.2">
      <c r="A316" t="s">
        <v>430</v>
      </c>
      <c r="B316" t="s">
        <v>468</v>
      </c>
      <c r="C316" t="s">
        <v>435</v>
      </c>
      <c r="D316" t="s">
        <v>469</v>
      </c>
      <c r="Q316">
        <f t="shared" si="20"/>
        <v>0</v>
      </c>
      <c r="R316">
        <f t="shared" si="21"/>
        <v>0</v>
      </c>
    </row>
    <row r="317" spans="1:18" x14ac:dyDescent="0.2">
      <c r="A317" t="s">
        <v>430</v>
      </c>
      <c r="B317" t="s">
        <v>482</v>
      </c>
      <c r="C317" t="s">
        <v>498</v>
      </c>
      <c r="D317" t="s">
        <v>499</v>
      </c>
      <c r="Q317">
        <f t="shared" si="20"/>
        <v>0</v>
      </c>
      <c r="R317">
        <f t="shared" si="21"/>
        <v>0</v>
      </c>
    </row>
    <row r="318" spans="1:18" x14ac:dyDescent="0.2">
      <c r="A318" t="s">
        <v>430</v>
      </c>
      <c r="B318" t="s">
        <v>482</v>
      </c>
      <c r="C318" t="s">
        <v>432</v>
      </c>
      <c r="D318" t="s">
        <v>497</v>
      </c>
      <c r="Q318">
        <f t="shared" si="20"/>
        <v>0</v>
      </c>
      <c r="R318">
        <f t="shared" si="21"/>
        <v>0</v>
      </c>
    </row>
    <row r="319" spans="1:18" x14ac:dyDescent="0.2">
      <c r="A319" t="s">
        <v>430</v>
      </c>
      <c r="B319" t="s">
        <v>482</v>
      </c>
      <c r="C319" t="s">
        <v>495</v>
      </c>
      <c r="D319" t="s">
        <v>496</v>
      </c>
      <c r="Q319">
        <f t="shared" si="20"/>
        <v>0</v>
      </c>
      <c r="R319">
        <f t="shared" si="21"/>
        <v>0</v>
      </c>
    </row>
    <row r="320" spans="1:18" x14ac:dyDescent="0.2">
      <c r="A320" t="s">
        <v>430</v>
      </c>
      <c r="B320" t="s">
        <v>482</v>
      </c>
      <c r="C320" t="s">
        <v>432</v>
      </c>
      <c r="D320" t="s">
        <v>494</v>
      </c>
      <c r="Q320">
        <f t="shared" si="20"/>
        <v>0</v>
      </c>
      <c r="R320">
        <f t="shared" si="21"/>
        <v>0</v>
      </c>
    </row>
    <row r="321" spans="1:18" x14ac:dyDescent="0.2">
      <c r="A321" t="s">
        <v>430</v>
      </c>
      <c r="B321" t="s">
        <v>482</v>
      </c>
      <c r="C321" t="s">
        <v>432</v>
      </c>
      <c r="D321" t="s">
        <v>493</v>
      </c>
      <c r="Q321">
        <f t="shared" si="20"/>
        <v>0</v>
      </c>
      <c r="R321">
        <f t="shared" si="21"/>
        <v>0</v>
      </c>
    </row>
    <row r="322" spans="1:18" x14ac:dyDescent="0.2">
      <c r="A322" t="s">
        <v>430</v>
      </c>
      <c r="B322" t="s">
        <v>482</v>
      </c>
      <c r="C322" t="s">
        <v>432</v>
      </c>
      <c r="D322" t="s">
        <v>560</v>
      </c>
      <c r="F322">
        <v>5.3</v>
      </c>
      <c r="G322">
        <v>8</v>
      </c>
      <c r="H322">
        <v>1</v>
      </c>
      <c r="L322">
        <v>3</v>
      </c>
      <c r="Q322">
        <f t="shared" si="20"/>
        <v>8</v>
      </c>
      <c r="R322">
        <f t="shared" si="21"/>
        <v>9.3000000000000007</v>
      </c>
    </row>
    <row r="323" spans="1:18" x14ac:dyDescent="0.2">
      <c r="A323" t="s">
        <v>430</v>
      </c>
      <c r="B323" t="s">
        <v>482</v>
      </c>
      <c r="C323" t="s">
        <v>561</v>
      </c>
      <c r="D323" t="s">
        <v>562</v>
      </c>
      <c r="Q323">
        <f t="shared" si="20"/>
        <v>0</v>
      </c>
      <c r="R323">
        <f t="shared" si="21"/>
        <v>0</v>
      </c>
    </row>
    <row r="324" spans="1:18" x14ac:dyDescent="0.2">
      <c r="A324" t="s">
        <v>430</v>
      </c>
      <c r="B324" t="s">
        <v>482</v>
      </c>
      <c r="C324" t="s">
        <v>359</v>
      </c>
      <c r="D324" t="s">
        <v>563</v>
      </c>
      <c r="F324">
        <v>1</v>
      </c>
      <c r="Q324">
        <f t="shared" si="20"/>
        <v>0</v>
      </c>
      <c r="R324">
        <f t="shared" si="21"/>
        <v>1</v>
      </c>
    </row>
    <row r="325" spans="1:18" x14ac:dyDescent="0.2">
      <c r="A325" t="s">
        <v>430</v>
      </c>
      <c r="B325" t="s">
        <v>482</v>
      </c>
      <c r="C325" t="s">
        <v>432</v>
      </c>
      <c r="D325" t="s">
        <v>492</v>
      </c>
      <c r="Q325">
        <f t="shared" si="20"/>
        <v>0</v>
      </c>
      <c r="R325">
        <f t="shared" si="21"/>
        <v>0</v>
      </c>
    </row>
    <row r="326" spans="1:18" x14ac:dyDescent="0.2">
      <c r="A326" t="s">
        <v>430</v>
      </c>
      <c r="B326" t="s">
        <v>482</v>
      </c>
      <c r="C326" t="s">
        <v>432</v>
      </c>
      <c r="D326" t="s">
        <v>491</v>
      </c>
      <c r="Q326">
        <f t="shared" si="20"/>
        <v>0</v>
      </c>
      <c r="R326">
        <f t="shared" si="21"/>
        <v>0</v>
      </c>
    </row>
    <row r="327" spans="1:18" x14ac:dyDescent="0.2">
      <c r="A327" t="s">
        <v>430</v>
      </c>
      <c r="B327" t="s">
        <v>482</v>
      </c>
      <c r="C327" t="s">
        <v>56</v>
      </c>
      <c r="D327" t="s">
        <v>490</v>
      </c>
      <c r="F327">
        <v>4</v>
      </c>
      <c r="G327">
        <v>1</v>
      </c>
      <c r="Q327">
        <f t="shared" si="20"/>
        <v>1</v>
      </c>
      <c r="R327">
        <f t="shared" si="21"/>
        <v>4</v>
      </c>
    </row>
    <row r="328" spans="1:18" x14ac:dyDescent="0.2">
      <c r="A328" t="s">
        <v>430</v>
      </c>
      <c r="B328" t="s">
        <v>482</v>
      </c>
      <c r="C328" t="s">
        <v>438</v>
      </c>
      <c r="D328" t="s">
        <v>489</v>
      </c>
      <c r="Q328">
        <f t="shared" si="20"/>
        <v>0</v>
      </c>
      <c r="R328">
        <f t="shared" si="21"/>
        <v>0</v>
      </c>
    </row>
    <row r="329" spans="1:18" x14ac:dyDescent="0.2">
      <c r="A329" t="s">
        <v>430</v>
      </c>
      <c r="B329" t="s">
        <v>482</v>
      </c>
      <c r="C329" t="s">
        <v>487</v>
      </c>
      <c r="D329" t="s">
        <v>488</v>
      </c>
      <c r="Q329">
        <f t="shared" si="20"/>
        <v>0</v>
      </c>
      <c r="R329">
        <f t="shared" si="21"/>
        <v>0</v>
      </c>
    </row>
    <row r="330" spans="1:18" x14ac:dyDescent="0.2">
      <c r="A330" t="s">
        <v>430</v>
      </c>
      <c r="B330" t="s">
        <v>482</v>
      </c>
      <c r="C330" t="s">
        <v>438</v>
      </c>
      <c r="D330" t="s">
        <v>486</v>
      </c>
      <c r="Q330">
        <f t="shared" si="20"/>
        <v>0</v>
      </c>
      <c r="R330">
        <f t="shared" si="21"/>
        <v>0</v>
      </c>
    </row>
    <row r="331" spans="1:18" x14ac:dyDescent="0.2">
      <c r="A331" t="s">
        <v>430</v>
      </c>
      <c r="B331" t="s">
        <v>482</v>
      </c>
      <c r="C331" t="s">
        <v>432</v>
      </c>
      <c r="D331" t="s">
        <v>485</v>
      </c>
      <c r="F331">
        <v>7</v>
      </c>
      <c r="H331">
        <v>5</v>
      </c>
      <c r="Q331">
        <f t="shared" si="20"/>
        <v>0</v>
      </c>
      <c r="R331">
        <f t="shared" si="21"/>
        <v>12</v>
      </c>
    </row>
    <row r="332" spans="1:18" x14ac:dyDescent="0.2">
      <c r="A332" t="s">
        <v>430</v>
      </c>
      <c r="B332" t="s">
        <v>482</v>
      </c>
      <c r="C332" t="s">
        <v>432</v>
      </c>
      <c r="D332" t="s">
        <v>484</v>
      </c>
      <c r="Q332">
        <f t="shared" si="20"/>
        <v>0</v>
      </c>
      <c r="R332">
        <f t="shared" si="21"/>
        <v>0</v>
      </c>
    </row>
    <row r="333" spans="1:18" x14ac:dyDescent="0.2">
      <c r="A333" t="s">
        <v>430</v>
      </c>
      <c r="B333" t="s">
        <v>482</v>
      </c>
      <c r="C333" t="s">
        <v>432</v>
      </c>
      <c r="D333" t="s">
        <v>483</v>
      </c>
      <c r="Q333">
        <f t="shared" si="20"/>
        <v>0</v>
      </c>
      <c r="R333">
        <f t="shared" si="21"/>
        <v>0</v>
      </c>
    </row>
    <row r="334" spans="1:18" x14ac:dyDescent="0.2">
      <c r="A334" t="s">
        <v>430</v>
      </c>
      <c r="B334" t="s">
        <v>500</v>
      </c>
      <c r="C334" t="s">
        <v>432</v>
      </c>
      <c r="D334" t="s">
        <v>528</v>
      </c>
      <c r="Q334">
        <f t="shared" si="20"/>
        <v>0</v>
      </c>
      <c r="R334">
        <f t="shared" si="21"/>
        <v>0</v>
      </c>
    </row>
    <row r="335" spans="1:18" x14ac:dyDescent="0.2">
      <c r="A335" t="s">
        <v>430</v>
      </c>
      <c r="B335" t="s">
        <v>500</v>
      </c>
      <c r="C335" t="s">
        <v>438</v>
      </c>
      <c r="D335" t="s">
        <v>527</v>
      </c>
      <c r="F335">
        <v>1</v>
      </c>
      <c r="Q335">
        <f t="shared" si="20"/>
        <v>0</v>
      </c>
      <c r="R335">
        <f t="shared" si="21"/>
        <v>1</v>
      </c>
    </row>
    <row r="336" spans="1:18" x14ac:dyDescent="0.2">
      <c r="A336" t="s">
        <v>430</v>
      </c>
      <c r="B336" t="s">
        <v>500</v>
      </c>
      <c r="C336" t="s">
        <v>432</v>
      </c>
      <c r="D336" t="s">
        <v>526</v>
      </c>
      <c r="Q336">
        <f t="shared" ref="Q336:Q361" si="22">SUM(E336,G336,I336,K336,M336,O336)</f>
        <v>0</v>
      </c>
      <c r="R336">
        <f t="shared" si="21"/>
        <v>0</v>
      </c>
    </row>
    <row r="337" spans="1:18" x14ac:dyDescent="0.2">
      <c r="A337" t="s">
        <v>430</v>
      </c>
      <c r="B337" t="s">
        <v>500</v>
      </c>
      <c r="C337" t="s">
        <v>359</v>
      </c>
      <c r="D337" t="s">
        <v>525</v>
      </c>
      <c r="Q337">
        <f t="shared" si="22"/>
        <v>0</v>
      </c>
      <c r="R337">
        <f t="shared" si="21"/>
        <v>0</v>
      </c>
    </row>
    <row r="338" spans="1:18" x14ac:dyDescent="0.2">
      <c r="A338" t="s">
        <v>430</v>
      </c>
      <c r="B338" t="s">
        <v>500</v>
      </c>
      <c r="C338" t="s">
        <v>498</v>
      </c>
      <c r="D338" t="s">
        <v>524</v>
      </c>
      <c r="Q338">
        <f t="shared" si="22"/>
        <v>0</v>
      </c>
      <c r="R338">
        <f t="shared" ref="R338:R361" si="23">SUM(F338,H338,J338,L338,N338,P338)</f>
        <v>0</v>
      </c>
    </row>
    <row r="339" spans="1:18" x14ac:dyDescent="0.2">
      <c r="A339" t="s">
        <v>430</v>
      </c>
      <c r="B339" t="s">
        <v>500</v>
      </c>
      <c r="C339" t="s">
        <v>432</v>
      </c>
      <c r="D339" t="s">
        <v>523</v>
      </c>
      <c r="F339">
        <v>3</v>
      </c>
      <c r="Q339">
        <f t="shared" si="22"/>
        <v>0</v>
      </c>
      <c r="R339">
        <f t="shared" si="23"/>
        <v>3</v>
      </c>
    </row>
    <row r="340" spans="1:18" x14ac:dyDescent="0.2">
      <c r="A340" t="s">
        <v>430</v>
      </c>
      <c r="B340" t="s">
        <v>500</v>
      </c>
      <c r="C340" t="s">
        <v>438</v>
      </c>
      <c r="D340" t="s">
        <v>522</v>
      </c>
      <c r="Q340">
        <f t="shared" si="22"/>
        <v>0</v>
      </c>
      <c r="R340">
        <f t="shared" si="23"/>
        <v>0</v>
      </c>
    </row>
    <row r="341" spans="1:18" x14ac:dyDescent="0.2">
      <c r="A341" t="s">
        <v>430</v>
      </c>
      <c r="B341" t="s">
        <v>500</v>
      </c>
      <c r="C341" t="s">
        <v>498</v>
      </c>
      <c r="D341" t="s">
        <v>521</v>
      </c>
      <c r="Q341">
        <f t="shared" si="22"/>
        <v>0</v>
      </c>
      <c r="R341">
        <f t="shared" si="23"/>
        <v>0</v>
      </c>
    </row>
    <row r="342" spans="1:18" x14ac:dyDescent="0.2">
      <c r="A342" t="s">
        <v>430</v>
      </c>
      <c r="B342" t="s">
        <v>500</v>
      </c>
      <c r="C342" t="s">
        <v>432</v>
      </c>
      <c r="D342" t="s">
        <v>520</v>
      </c>
      <c r="Q342">
        <f t="shared" si="22"/>
        <v>0</v>
      </c>
      <c r="R342">
        <f t="shared" si="23"/>
        <v>0</v>
      </c>
    </row>
    <row r="343" spans="1:18" x14ac:dyDescent="0.2">
      <c r="A343" t="s">
        <v>430</v>
      </c>
      <c r="B343" t="s">
        <v>468</v>
      </c>
      <c r="C343" t="s">
        <v>432</v>
      </c>
      <c r="D343" t="s">
        <v>478</v>
      </c>
      <c r="F343">
        <v>7</v>
      </c>
      <c r="L343">
        <v>1.6</v>
      </c>
      <c r="Q343">
        <f t="shared" si="22"/>
        <v>0</v>
      </c>
      <c r="R343">
        <f t="shared" si="23"/>
        <v>8.6</v>
      </c>
    </row>
    <row r="344" spans="1:18" x14ac:dyDescent="0.2">
      <c r="A344" t="s">
        <v>430</v>
      </c>
      <c r="B344" t="s">
        <v>500</v>
      </c>
      <c r="C344" t="s">
        <v>518</v>
      </c>
      <c r="D344" t="s">
        <v>519</v>
      </c>
      <c r="Q344">
        <f t="shared" si="22"/>
        <v>0</v>
      </c>
      <c r="R344">
        <f t="shared" si="23"/>
        <v>0</v>
      </c>
    </row>
    <row r="345" spans="1:18" x14ac:dyDescent="0.2">
      <c r="A345" t="s">
        <v>430</v>
      </c>
      <c r="B345" t="s">
        <v>500</v>
      </c>
      <c r="C345" t="s">
        <v>432</v>
      </c>
      <c r="D345" t="s">
        <v>517</v>
      </c>
      <c r="Q345">
        <f t="shared" si="22"/>
        <v>0</v>
      </c>
      <c r="R345">
        <f t="shared" si="23"/>
        <v>0</v>
      </c>
    </row>
    <row r="346" spans="1:18" x14ac:dyDescent="0.2">
      <c r="A346" t="s">
        <v>430</v>
      </c>
      <c r="B346" t="s">
        <v>500</v>
      </c>
      <c r="C346" t="s">
        <v>438</v>
      </c>
      <c r="D346" t="s">
        <v>516</v>
      </c>
      <c r="Q346">
        <f t="shared" si="22"/>
        <v>0</v>
      </c>
      <c r="R346">
        <f t="shared" si="23"/>
        <v>0</v>
      </c>
    </row>
    <row r="347" spans="1:18" x14ac:dyDescent="0.2">
      <c r="A347" t="s">
        <v>430</v>
      </c>
      <c r="B347" t="s">
        <v>500</v>
      </c>
      <c r="C347" t="s">
        <v>438</v>
      </c>
      <c r="D347" t="s">
        <v>564</v>
      </c>
      <c r="F347">
        <v>8</v>
      </c>
      <c r="G347">
        <v>5</v>
      </c>
      <c r="L347">
        <v>20.3</v>
      </c>
      <c r="Q347">
        <f t="shared" si="22"/>
        <v>5</v>
      </c>
      <c r="R347">
        <f t="shared" si="23"/>
        <v>28.3</v>
      </c>
    </row>
    <row r="348" spans="1:18" x14ac:dyDescent="0.2">
      <c r="A348" t="s">
        <v>430</v>
      </c>
      <c r="B348" t="s">
        <v>500</v>
      </c>
      <c r="C348" t="s">
        <v>438</v>
      </c>
      <c r="D348" t="s">
        <v>514</v>
      </c>
      <c r="Q348">
        <f t="shared" si="22"/>
        <v>0</v>
      </c>
      <c r="R348">
        <f t="shared" si="23"/>
        <v>0</v>
      </c>
    </row>
    <row r="349" spans="1:18" x14ac:dyDescent="0.2">
      <c r="A349" t="s">
        <v>430</v>
      </c>
      <c r="B349" t="s">
        <v>500</v>
      </c>
      <c r="C349" t="s">
        <v>432</v>
      </c>
      <c r="D349" t="s">
        <v>513</v>
      </c>
      <c r="G349">
        <v>1</v>
      </c>
      <c r="Q349">
        <f t="shared" si="22"/>
        <v>1</v>
      </c>
      <c r="R349">
        <f t="shared" si="23"/>
        <v>0</v>
      </c>
    </row>
    <row r="350" spans="1:18" x14ac:dyDescent="0.2">
      <c r="A350" t="s">
        <v>430</v>
      </c>
      <c r="B350" t="s">
        <v>500</v>
      </c>
      <c r="C350" t="s">
        <v>432</v>
      </c>
      <c r="D350" t="s">
        <v>512</v>
      </c>
      <c r="L350">
        <v>0.6</v>
      </c>
      <c r="Q350">
        <f t="shared" si="22"/>
        <v>0</v>
      </c>
      <c r="R350">
        <f t="shared" si="23"/>
        <v>0.6</v>
      </c>
    </row>
    <row r="351" spans="1:18" x14ac:dyDescent="0.2">
      <c r="A351" t="s">
        <v>430</v>
      </c>
      <c r="B351" t="s">
        <v>500</v>
      </c>
      <c r="C351" t="s">
        <v>438</v>
      </c>
      <c r="D351" t="s">
        <v>565</v>
      </c>
      <c r="Q351">
        <f t="shared" si="22"/>
        <v>0</v>
      </c>
      <c r="R351">
        <f t="shared" si="23"/>
        <v>0</v>
      </c>
    </row>
    <row r="352" spans="1:18" x14ac:dyDescent="0.2">
      <c r="A352" t="s">
        <v>430</v>
      </c>
      <c r="B352" t="s">
        <v>500</v>
      </c>
      <c r="C352" t="s">
        <v>432</v>
      </c>
      <c r="D352" t="s">
        <v>510</v>
      </c>
      <c r="H352">
        <v>2</v>
      </c>
      <c r="Q352">
        <f t="shared" si="22"/>
        <v>0</v>
      </c>
      <c r="R352">
        <f t="shared" si="23"/>
        <v>2</v>
      </c>
    </row>
    <row r="353" spans="1:18" x14ac:dyDescent="0.2">
      <c r="A353" t="s">
        <v>430</v>
      </c>
      <c r="B353" t="s">
        <v>500</v>
      </c>
      <c r="C353" t="s">
        <v>432</v>
      </c>
      <c r="D353" t="s">
        <v>509</v>
      </c>
      <c r="Q353">
        <f t="shared" si="22"/>
        <v>0</v>
      </c>
      <c r="R353">
        <f t="shared" si="23"/>
        <v>0</v>
      </c>
    </row>
    <row r="354" spans="1:18" x14ac:dyDescent="0.2">
      <c r="A354" t="s">
        <v>430</v>
      </c>
      <c r="B354" t="s">
        <v>500</v>
      </c>
      <c r="C354" t="s">
        <v>498</v>
      </c>
      <c r="D354" t="s">
        <v>508</v>
      </c>
      <c r="Q354">
        <f t="shared" si="22"/>
        <v>0</v>
      </c>
      <c r="R354">
        <f t="shared" si="23"/>
        <v>0</v>
      </c>
    </row>
    <row r="355" spans="1:18" x14ac:dyDescent="0.2">
      <c r="A355" t="s">
        <v>430</v>
      </c>
      <c r="B355" t="s">
        <v>500</v>
      </c>
      <c r="C355" t="s">
        <v>498</v>
      </c>
      <c r="D355" t="s">
        <v>507</v>
      </c>
      <c r="Q355">
        <f t="shared" si="22"/>
        <v>0</v>
      </c>
      <c r="R355">
        <f t="shared" si="23"/>
        <v>0</v>
      </c>
    </row>
    <row r="356" spans="1:18" x14ac:dyDescent="0.2">
      <c r="A356" t="s">
        <v>430</v>
      </c>
      <c r="B356" t="s">
        <v>500</v>
      </c>
      <c r="C356" t="s">
        <v>359</v>
      </c>
      <c r="D356" t="s">
        <v>506</v>
      </c>
      <c r="Q356">
        <f t="shared" si="22"/>
        <v>0</v>
      </c>
      <c r="R356">
        <f t="shared" si="23"/>
        <v>0</v>
      </c>
    </row>
    <row r="357" spans="1:18" x14ac:dyDescent="0.2">
      <c r="A357" t="s">
        <v>430</v>
      </c>
      <c r="B357" t="s">
        <v>500</v>
      </c>
      <c r="C357" t="s">
        <v>432</v>
      </c>
      <c r="D357" t="s">
        <v>505</v>
      </c>
      <c r="Q357">
        <f t="shared" si="22"/>
        <v>0</v>
      </c>
      <c r="R357">
        <f t="shared" si="23"/>
        <v>0</v>
      </c>
    </row>
    <row r="358" spans="1:18" x14ac:dyDescent="0.2">
      <c r="A358" t="s">
        <v>430</v>
      </c>
      <c r="B358" t="s">
        <v>500</v>
      </c>
      <c r="C358" t="s">
        <v>432</v>
      </c>
      <c r="D358" t="s">
        <v>504</v>
      </c>
      <c r="Q358">
        <f t="shared" si="22"/>
        <v>0</v>
      </c>
      <c r="R358">
        <f t="shared" si="23"/>
        <v>0</v>
      </c>
    </row>
    <row r="359" spans="1:18" x14ac:dyDescent="0.2">
      <c r="A359" t="s">
        <v>430</v>
      </c>
      <c r="B359" t="s">
        <v>500</v>
      </c>
      <c r="C359" t="s">
        <v>432</v>
      </c>
      <c r="D359" t="s">
        <v>503</v>
      </c>
      <c r="Q359">
        <f t="shared" si="22"/>
        <v>0</v>
      </c>
      <c r="R359">
        <f t="shared" si="23"/>
        <v>0</v>
      </c>
    </row>
    <row r="360" spans="1:18" x14ac:dyDescent="0.2">
      <c r="A360" t="s">
        <v>430</v>
      </c>
      <c r="B360" t="s">
        <v>500</v>
      </c>
      <c r="C360" t="s">
        <v>432</v>
      </c>
      <c r="D360" t="s">
        <v>502</v>
      </c>
      <c r="Q360">
        <f t="shared" si="22"/>
        <v>0</v>
      </c>
      <c r="R360">
        <f t="shared" si="23"/>
        <v>0</v>
      </c>
    </row>
    <row r="361" spans="1:18" x14ac:dyDescent="0.2">
      <c r="A361" t="s">
        <v>430</v>
      </c>
      <c r="B361" t="s">
        <v>500</v>
      </c>
      <c r="C361" t="s">
        <v>438</v>
      </c>
      <c r="D361" t="s">
        <v>501</v>
      </c>
      <c r="Q361">
        <f t="shared" si="22"/>
        <v>0</v>
      </c>
      <c r="R361">
        <f t="shared" si="23"/>
        <v>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61"/>
  <sheetViews>
    <sheetView workbookViewId="0"/>
  </sheetViews>
  <sheetFormatPr baseColWidth="10" defaultColWidth="8.83203125" defaultRowHeight="15" x14ac:dyDescent="0.2"/>
  <cols>
    <col min="1" max="1" width="18.5" customWidth="1"/>
    <col min="2" max="2" width="23.33203125" customWidth="1"/>
    <col min="3" max="3" width="18.1640625" customWidth="1"/>
    <col min="4" max="4" width="57.6640625" customWidth="1"/>
    <col min="5" max="5" width="8.6640625" customWidth="1"/>
  </cols>
  <sheetData>
    <row r="1" spans="1:10" x14ac:dyDescent="0.2">
      <c r="E1" t="s">
        <v>11</v>
      </c>
      <c r="G1" t="s">
        <v>12</v>
      </c>
      <c r="I1" t="s">
        <v>4</v>
      </c>
    </row>
    <row r="2" spans="1:10" x14ac:dyDescent="0.2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21</v>
      </c>
      <c r="H2" t="s">
        <v>22</v>
      </c>
      <c r="I2" t="s">
        <v>21</v>
      </c>
      <c r="J2" t="s">
        <v>22</v>
      </c>
    </row>
    <row r="3" spans="1:10" x14ac:dyDescent="0.2">
      <c r="A3" t="s">
        <v>23</v>
      </c>
      <c r="B3" t="s">
        <v>24</v>
      </c>
      <c r="C3" t="s">
        <v>37</v>
      </c>
      <c r="D3" t="s">
        <v>38</v>
      </c>
      <c r="I3">
        <f>SUM(E3,G3)</f>
        <v>0</v>
      </c>
      <c r="J3">
        <f>SUM(F3,H3)</f>
        <v>0</v>
      </c>
    </row>
    <row r="4" spans="1:10" x14ac:dyDescent="0.2">
      <c r="A4" t="s">
        <v>23</v>
      </c>
      <c r="B4" t="s">
        <v>24</v>
      </c>
      <c r="C4" t="s">
        <v>546</v>
      </c>
      <c r="D4" t="s">
        <v>547</v>
      </c>
    </row>
    <row r="5" spans="1:10" x14ac:dyDescent="0.2">
      <c r="A5" t="s">
        <v>23</v>
      </c>
      <c r="B5" t="s">
        <v>24</v>
      </c>
      <c r="C5" t="s">
        <v>25</v>
      </c>
      <c r="D5" t="s">
        <v>35</v>
      </c>
      <c r="F5">
        <v>14</v>
      </c>
      <c r="G5">
        <v>1</v>
      </c>
      <c r="H5">
        <v>22</v>
      </c>
      <c r="I5">
        <f t="shared" ref="I5:I46" si="0">SUM(E5,G5)</f>
        <v>1</v>
      </c>
      <c r="J5">
        <f t="shared" ref="J5:J46" si="1">SUM(F5,H5)</f>
        <v>36</v>
      </c>
    </row>
    <row r="6" spans="1:10" x14ac:dyDescent="0.2">
      <c r="A6" t="s">
        <v>23</v>
      </c>
      <c r="B6" t="s">
        <v>24</v>
      </c>
      <c r="C6" t="s">
        <v>33</v>
      </c>
      <c r="D6" t="s">
        <v>34</v>
      </c>
      <c r="I6">
        <f t="shared" si="0"/>
        <v>0</v>
      </c>
      <c r="J6">
        <f t="shared" si="1"/>
        <v>0</v>
      </c>
    </row>
    <row r="7" spans="1:10" x14ac:dyDescent="0.2">
      <c r="A7" t="s">
        <v>23</v>
      </c>
      <c r="B7" t="s">
        <v>24</v>
      </c>
      <c r="C7" t="s">
        <v>31</v>
      </c>
      <c r="D7" t="s">
        <v>32</v>
      </c>
      <c r="I7">
        <f t="shared" si="0"/>
        <v>0</v>
      </c>
      <c r="J7">
        <f t="shared" si="1"/>
        <v>0</v>
      </c>
    </row>
    <row r="8" spans="1:10" x14ac:dyDescent="0.2">
      <c r="A8" t="s">
        <v>23</v>
      </c>
      <c r="B8" t="s">
        <v>24</v>
      </c>
      <c r="C8" t="s">
        <v>29</v>
      </c>
      <c r="D8" t="s">
        <v>30</v>
      </c>
      <c r="H8">
        <v>9</v>
      </c>
      <c r="I8">
        <f t="shared" si="0"/>
        <v>0</v>
      </c>
      <c r="J8">
        <f t="shared" si="1"/>
        <v>9</v>
      </c>
    </row>
    <row r="9" spans="1:10" x14ac:dyDescent="0.2">
      <c r="A9" t="s">
        <v>23</v>
      </c>
      <c r="B9" t="s">
        <v>24</v>
      </c>
      <c r="C9" t="s">
        <v>25</v>
      </c>
      <c r="D9" t="s">
        <v>548</v>
      </c>
      <c r="I9">
        <f t="shared" si="0"/>
        <v>0</v>
      </c>
      <c r="J9">
        <f t="shared" si="1"/>
        <v>0</v>
      </c>
    </row>
    <row r="10" spans="1:10" x14ac:dyDescent="0.2">
      <c r="A10" t="s">
        <v>23</v>
      </c>
      <c r="B10" t="s">
        <v>24</v>
      </c>
      <c r="C10" t="s">
        <v>25</v>
      </c>
      <c r="D10" t="s">
        <v>549</v>
      </c>
      <c r="I10">
        <f t="shared" si="0"/>
        <v>0</v>
      </c>
      <c r="J10">
        <f t="shared" si="1"/>
        <v>0</v>
      </c>
    </row>
    <row r="11" spans="1:10" x14ac:dyDescent="0.2">
      <c r="A11" t="s">
        <v>23</v>
      </c>
      <c r="B11" t="s">
        <v>24</v>
      </c>
      <c r="C11" t="s">
        <v>25</v>
      </c>
      <c r="D11" t="s">
        <v>26</v>
      </c>
      <c r="F11">
        <v>14</v>
      </c>
      <c r="G11">
        <v>1</v>
      </c>
      <c r="H11">
        <v>5</v>
      </c>
      <c r="I11">
        <f t="shared" si="0"/>
        <v>1</v>
      </c>
      <c r="J11">
        <f t="shared" si="1"/>
        <v>19</v>
      </c>
    </row>
    <row r="12" spans="1:10" x14ac:dyDescent="0.2">
      <c r="A12" t="s">
        <v>23</v>
      </c>
      <c r="B12" t="s">
        <v>40</v>
      </c>
      <c r="C12" t="s">
        <v>41</v>
      </c>
      <c r="D12" t="s">
        <v>42</v>
      </c>
      <c r="I12">
        <f t="shared" si="0"/>
        <v>0</v>
      </c>
      <c r="J12">
        <f t="shared" si="1"/>
        <v>0</v>
      </c>
    </row>
    <row r="13" spans="1:10" x14ac:dyDescent="0.2">
      <c r="A13" t="s">
        <v>23</v>
      </c>
      <c r="B13" t="s">
        <v>43</v>
      </c>
      <c r="C13" t="s">
        <v>41</v>
      </c>
      <c r="D13" t="s">
        <v>46</v>
      </c>
      <c r="I13">
        <f t="shared" si="0"/>
        <v>0</v>
      </c>
      <c r="J13">
        <f t="shared" si="1"/>
        <v>0</v>
      </c>
    </row>
    <row r="14" spans="1:10" x14ac:dyDescent="0.2">
      <c r="A14" t="s">
        <v>23</v>
      </c>
      <c r="B14" t="s">
        <v>43</v>
      </c>
      <c r="C14" t="s">
        <v>44</v>
      </c>
      <c r="D14" t="s">
        <v>45</v>
      </c>
      <c r="G14">
        <v>3</v>
      </c>
      <c r="H14">
        <v>12</v>
      </c>
      <c r="I14">
        <f t="shared" si="0"/>
        <v>3</v>
      </c>
      <c r="J14">
        <f t="shared" si="1"/>
        <v>12</v>
      </c>
    </row>
    <row r="15" spans="1:10" x14ac:dyDescent="0.2">
      <c r="A15" t="s">
        <v>47</v>
      </c>
      <c r="B15" t="s">
        <v>48</v>
      </c>
      <c r="C15" t="s">
        <v>53</v>
      </c>
      <c r="D15" t="s">
        <v>54</v>
      </c>
      <c r="I15">
        <f t="shared" si="0"/>
        <v>0</v>
      </c>
      <c r="J15">
        <f t="shared" si="1"/>
        <v>0</v>
      </c>
    </row>
    <row r="16" spans="1:10" x14ac:dyDescent="0.2">
      <c r="A16" t="s">
        <v>47</v>
      </c>
      <c r="B16" t="s">
        <v>48</v>
      </c>
      <c r="C16" t="s">
        <v>51</v>
      </c>
      <c r="D16" t="s">
        <v>52</v>
      </c>
      <c r="I16">
        <f t="shared" si="0"/>
        <v>0</v>
      </c>
      <c r="J16">
        <f t="shared" si="1"/>
        <v>0</v>
      </c>
    </row>
    <row r="17" spans="1:10" x14ac:dyDescent="0.2">
      <c r="A17" t="s">
        <v>47</v>
      </c>
      <c r="B17" t="s">
        <v>48</v>
      </c>
      <c r="C17" t="s">
        <v>49</v>
      </c>
      <c r="D17" t="s">
        <v>50</v>
      </c>
      <c r="I17">
        <f t="shared" si="0"/>
        <v>0</v>
      </c>
      <c r="J17">
        <f t="shared" si="1"/>
        <v>0</v>
      </c>
    </row>
    <row r="18" spans="1:10" x14ac:dyDescent="0.2">
      <c r="A18" t="s">
        <v>47</v>
      </c>
      <c r="B18" t="s">
        <v>55</v>
      </c>
      <c r="C18" t="s">
        <v>58</v>
      </c>
      <c r="D18" t="s">
        <v>60</v>
      </c>
      <c r="I18">
        <f t="shared" si="0"/>
        <v>0</v>
      </c>
      <c r="J18">
        <f t="shared" si="1"/>
        <v>0</v>
      </c>
    </row>
    <row r="19" spans="1:10" x14ac:dyDescent="0.2">
      <c r="A19" t="s">
        <v>47</v>
      </c>
      <c r="B19" t="s">
        <v>55</v>
      </c>
      <c r="C19" t="s">
        <v>58</v>
      </c>
      <c r="D19" t="s">
        <v>59</v>
      </c>
      <c r="I19">
        <f t="shared" si="0"/>
        <v>0</v>
      </c>
      <c r="J19">
        <f t="shared" si="1"/>
        <v>0</v>
      </c>
    </row>
    <row r="20" spans="1:10" x14ac:dyDescent="0.2">
      <c r="A20" t="s">
        <v>47</v>
      </c>
      <c r="B20" t="s">
        <v>55</v>
      </c>
      <c r="C20" t="s">
        <v>56</v>
      </c>
      <c r="D20" t="s">
        <v>57</v>
      </c>
      <c r="I20">
        <f t="shared" si="0"/>
        <v>0</v>
      </c>
      <c r="J20">
        <f t="shared" si="1"/>
        <v>0</v>
      </c>
    </row>
    <row r="21" spans="1:10" x14ac:dyDescent="0.2">
      <c r="A21" t="s">
        <v>47</v>
      </c>
      <c r="B21" t="s">
        <v>61</v>
      </c>
      <c r="C21" t="s">
        <v>67</v>
      </c>
      <c r="D21" t="s">
        <v>69</v>
      </c>
      <c r="F21">
        <v>3</v>
      </c>
      <c r="I21">
        <f t="shared" si="0"/>
        <v>0</v>
      </c>
      <c r="J21">
        <f t="shared" si="1"/>
        <v>3</v>
      </c>
    </row>
    <row r="22" spans="1:10" x14ac:dyDescent="0.2">
      <c r="A22" t="s">
        <v>47</v>
      </c>
      <c r="B22" t="s">
        <v>61</v>
      </c>
      <c r="C22" t="s">
        <v>67</v>
      </c>
      <c r="D22" t="s">
        <v>68</v>
      </c>
      <c r="F22">
        <v>1</v>
      </c>
      <c r="I22">
        <f t="shared" si="0"/>
        <v>0</v>
      </c>
      <c r="J22">
        <f t="shared" si="1"/>
        <v>1</v>
      </c>
    </row>
    <row r="23" spans="1:10" x14ac:dyDescent="0.2">
      <c r="A23" t="s">
        <v>47</v>
      </c>
      <c r="B23" t="s">
        <v>61</v>
      </c>
      <c r="C23" t="s">
        <v>51</v>
      </c>
      <c r="D23" t="s">
        <v>66</v>
      </c>
      <c r="I23">
        <f t="shared" si="0"/>
        <v>0</v>
      </c>
      <c r="J23">
        <f t="shared" si="1"/>
        <v>0</v>
      </c>
    </row>
    <row r="24" spans="1:10" x14ac:dyDescent="0.2">
      <c r="A24" t="s">
        <v>47</v>
      </c>
      <c r="B24" t="s">
        <v>61</v>
      </c>
      <c r="C24" t="s">
        <v>51</v>
      </c>
      <c r="D24" t="s">
        <v>65</v>
      </c>
      <c r="I24">
        <f t="shared" si="0"/>
        <v>0</v>
      </c>
      <c r="J24">
        <f t="shared" si="1"/>
        <v>0</v>
      </c>
    </row>
    <row r="25" spans="1:10" x14ac:dyDescent="0.2">
      <c r="A25" t="s">
        <v>47</v>
      </c>
      <c r="B25" t="s">
        <v>61</v>
      </c>
      <c r="C25" t="s">
        <v>51</v>
      </c>
      <c r="D25" t="s">
        <v>64</v>
      </c>
      <c r="I25">
        <f t="shared" si="0"/>
        <v>0</v>
      </c>
      <c r="J25">
        <f t="shared" si="1"/>
        <v>0</v>
      </c>
    </row>
    <row r="26" spans="1:10" x14ac:dyDescent="0.2">
      <c r="A26" t="s">
        <v>47</v>
      </c>
      <c r="B26" t="s">
        <v>61</v>
      </c>
      <c r="C26" t="s">
        <v>62</v>
      </c>
      <c r="D26" t="s">
        <v>63</v>
      </c>
      <c r="F26">
        <v>2</v>
      </c>
      <c r="I26">
        <f t="shared" si="0"/>
        <v>0</v>
      </c>
      <c r="J26">
        <f t="shared" si="1"/>
        <v>2</v>
      </c>
    </row>
    <row r="27" spans="1:10" x14ac:dyDescent="0.2">
      <c r="A27" t="s">
        <v>47</v>
      </c>
      <c r="B27" t="s">
        <v>70</v>
      </c>
      <c r="C27" t="s">
        <v>92</v>
      </c>
      <c r="D27" t="s">
        <v>93</v>
      </c>
      <c r="I27">
        <f t="shared" si="0"/>
        <v>0</v>
      </c>
      <c r="J27">
        <f t="shared" si="1"/>
        <v>0</v>
      </c>
    </row>
    <row r="28" spans="1:10" x14ac:dyDescent="0.2">
      <c r="A28" t="s">
        <v>47</v>
      </c>
      <c r="B28" t="s">
        <v>70</v>
      </c>
      <c r="C28" t="s">
        <v>72</v>
      </c>
      <c r="D28" t="s">
        <v>91</v>
      </c>
      <c r="F28">
        <v>2.2000000000000002</v>
      </c>
      <c r="I28">
        <f t="shared" si="0"/>
        <v>0</v>
      </c>
      <c r="J28">
        <f t="shared" si="1"/>
        <v>2.2000000000000002</v>
      </c>
    </row>
    <row r="29" spans="1:10" x14ac:dyDescent="0.2">
      <c r="A29" t="s">
        <v>47</v>
      </c>
      <c r="B29" t="s">
        <v>70</v>
      </c>
      <c r="C29" t="s">
        <v>72</v>
      </c>
      <c r="D29" t="s">
        <v>90</v>
      </c>
      <c r="I29">
        <f t="shared" si="0"/>
        <v>0</v>
      </c>
      <c r="J29">
        <f t="shared" si="1"/>
        <v>0</v>
      </c>
    </row>
    <row r="30" spans="1:10" x14ac:dyDescent="0.2">
      <c r="A30" t="s">
        <v>47</v>
      </c>
      <c r="B30" t="s">
        <v>70</v>
      </c>
      <c r="C30" t="s">
        <v>72</v>
      </c>
      <c r="D30" t="s">
        <v>89</v>
      </c>
      <c r="I30">
        <f t="shared" si="0"/>
        <v>0</v>
      </c>
      <c r="J30">
        <f t="shared" si="1"/>
        <v>0</v>
      </c>
    </row>
    <row r="31" spans="1:10" x14ac:dyDescent="0.2">
      <c r="A31" t="s">
        <v>47</v>
      </c>
      <c r="B31" t="s">
        <v>70</v>
      </c>
      <c r="C31" t="s">
        <v>72</v>
      </c>
      <c r="D31" t="s">
        <v>88</v>
      </c>
      <c r="I31">
        <f t="shared" si="0"/>
        <v>0</v>
      </c>
      <c r="J31">
        <f t="shared" si="1"/>
        <v>0</v>
      </c>
    </row>
    <row r="32" spans="1:10" x14ac:dyDescent="0.2">
      <c r="A32" t="s">
        <v>47</v>
      </c>
      <c r="B32" t="s">
        <v>70</v>
      </c>
      <c r="C32" t="s">
        <v>80</v>
      </c>
      <c r="D32" t="s">
        <v>87</v>
      </c>
      <c r="I32">
        <f t="shared" si="0"/>
        <v>0</v>
      </c>
      <c r="J32">
        <f t="shared" si="1"/>
        <v>0</v>
      </c>
    </row>
    <row r="33" spans="1:10" x14ac:dyDescent="0.2">
      <c r="A33" t="s">
        <v>47</v>
      </c>
      <c r="B33" t="s">
        <v>70</v>
      </c>
      <c r="C33" t="s">
        <v>72</v>
      </c>
      <c r="D33" t="s">
        <v>86</v>
      </c>
      <c r="F33">
        <v>0.3</v>
      </c>
      <c r="I33">
        <f t="shared" si="0"/>
        <v>0</v>
      </c>
      <c r="J33">
        <f t="shared" si="1"/>
        <v>0.3</v>
      </c>
    </row>
    <row r="34" spans="1:10" x14ac:dyDescent="0.2">
      <c r="A34" t="s">
        <v>47</v>
      </c>
      <c r="B34" t="s">
        <v>70</v>
      </c>
      <c r="C34" t="s">
        <v>72</v>
      </c>
      <c r="D34" t="s">
        <v>85</v>
      </c>
      <c r="I34">
        <f t="shared" si="0"/>
        <v>0</v>
      </c>
      <c r="J34">
        <f t="shared" si="1"/>
        <v>0</v>
      </c>
    </row>
    <row r="35" spans="1:10" x14ac:dyDescent="0.2">
      <c r="A35" t="s">
        <v>47</v>
      </c>
      <c r="B35" t="s">
        <v>70</v>
      </c>
      <c r="C35" t="s">
        <v>72</v>
      </c>
      <c r="D35" t="s">
        <v>84</v>
      </c>
      <c r="F35">
        <v>1</v>
      </c>
      <c r="I35">
        <f t="shared" si="0"/>
        <v>0</v>
      </c>
      <c r="J35">
        <f t="shared" si="1"/>
        <v>1</v>
      </c>
    </row>
    <row r="36" spans="1:10" x14ac:dyDescent="0.2">
      <c r="A36" t="s">
        <v>47</v>
      </c>
      <c r="B36" t="s">
        <v>70</v>
      </c>
      <c r="C36" t="s">
        <v>82</v>
      </c>
      <c r="D36" t="s">
        <v>83</v>
      </c>
      <c r="I36">
        <f t="shared" si="0"/>
        <v>0</v>
      </c>
      <c r="J36">
        <f t="shared" si="1"/>
        <v>0</v>
      </c>
    </row>
    <row r="37" spans="1:10" x14ac:dyDescent="0.2">
      <c r="A37" t="s">
        <v>47</v>
      </c>
      <c r="B37" t="s">
        <v>70</v>
      </c>
      <c r="C37" t="s">
        <v>80</v>
      </c>
      <c r="D37" t="s">
        <v>81</v>
      </c>
      <c r="I37">
        <f t="shared" si="0"/>
        <v>0</v>
      </c>
      <c r="J37">
        <f t="shared" si="1"/>
        <v>0</v>
      </c>
    </row>
    <row r="38" spans="1:10" x14ac:dyDescent="0.2">
      <c r="A38" t="s">
        <v>47</v>
      </c>
      <c r="B38" t="s">
        <v>70</v>
      </c>
      <c r="C38" t="s">
        <v>72</v>
      </c>
      <c r="D38" t="s">
        <v>79</v>
      </c>
      <c r="F38">
        <v>1</v>
      </c>
      <c r="I38">
        <f t="shared" si="0"/>
        <v>0</v>
      </c>
      <c r="J38">
        <f t="shared" si="1"/>
        <v>1</v>
      </c>
    </row>
    <row r="39" spans="1:10" x14ac:dyDescent="0.2">
      <c r="A39" t="s">
        <v>47</v>
      </c>
      <c r="B39" t="s">
        <v>70</v>
      </c>
      <c r="C39" t="s">
        <v>72</v>
      </c>
      <c r="D39" t="s">
        <v>78</v>
      </c>
      <c r="F39">
        <v>1</v>
      </c>
      <c r="I39">
        <f t="shared" si="0"/>
        <v>0</v>
      </c>
      <c r="J39">
        <f t="shared" si="1"/>
        <v>1</v>
      </c>
    </row>
    <row r="40" spans="1:10" x14ac:dyDescent="0.2">
      <c r="A40" t="s">
        <v>47</v>
      </c>
      <c r="B40" t="s">
        <v>70</v>
      </c>
      <c r="C40" t="s">
        <v>72</v>
      </c>
      <c r="D40" t="s">
        <v>77</v>
      </c>
      <c r="I40">
        <f t="shared" si="0"/>
        <v>0</v>
      </c>
      <c r="J40">
        <f t="shared" si="1"/>
        <v>0</v>
      </c>
    </row>
    <row r="41" spans="1:10" x14ac:dyDescent="0.2">
      <c r="A41" t="s">
        <v>47</v>
      </c>
      <c r="B41" t="s">
        <v>70</v>
      </c>
      <c r="C41" t="s">
        <v>72</v>
      </c>
      <c r="D41" t="s">
        <v>76</v>
      </c>
      <c r="I41">
        <f t="shared" si="0"/>
        <v>0</v>
      </c>
      <c r="J41">
        <f t="shared" si="1"/>
        <v>0</v>
      </c>
    </row>
    <row r="42" spans="1:10" x14ac:dyDescent="0.2">
      <c r="A42" t="s">
        <v>47</v>
      </c>
      <c r="B42" t="s">
        <v>70</v>
      </c>
      <c r="C42" t="s">
        <v>72</v>
      </c>
      <c r="D42" t="s">
        <v>75</v>
      </c>
      <c r="I42">
        <f t="shared" si="0"/>
        <v>0</v>
      </c>
      <c r="J42">
        <f t="shared" si="1"/>
        <v>0</v>
      </c>
    </row>
    <row r="43" spans="1:10" x14ac:dyDescent="0.2">
      <c r="A43" t="s">
        <v>47</v>
      </c>
      <c r="B43" t="s">
        <v>70</v>
      </c>
      <c r="C43" t="s">
        <v>72</v>
      </c>
      <c r="D43" t="s">
        <v>74</v>
      </c>
      <c r="I43">
        <f t="shared" si="0"/>
        <v>0</v>
      </c>
      <c r="J43">
        <f t="shared" si="1"/>
        <v>0</v>
      </c>
    </row>
    <row r="44" spans="1:10" x14ac:dyDescent="0.2">
      <c r="A44" t="s">
        <v>47</v>
      </c>
      <c r="B44" t="s">
        <v>70</v>
      </c>
      <c r="C44" t="s">
        <v>72</v>
      </c>
      <c r="D44" t="s">
        <v>73</v>
      </c>
      <c r="I44">
        <f t="shared" si="0"/>
        <v>0</v>
      </c>
      <c r="J44">
        <f t="shared" si="1"/>
        <v>0</v>
      </c>
    </row>
    <row r="45" spans="1:10" x14ac:dyDescent="0.2">
      <c r="A45" t="s">
        <v>47</v>
      </c>
      <c r="B45" t="s">
        <v>70</v>
      </c>
      <c r="C45" t="s">
        <v>53</v>
      </c>
      <c r="D45" t="s">
        <v>71</v>
      </c>
      <c r="F45">
        <v>0.5</v>
      </c>
      <c r="I45">
        <f t="shared" si="0"/>
        <v>0</v>
      </c>
      <c r="J45">
        <f t="shared" si="1"/>
        <v>0.5</v>
      </c>
    </row>
    <row r="46" spans="1:10" x14ac:dyDescent="0.2">
      <c r="A46" t="s">
        <v>94</v>
      </c>
      <c r="B46" t="s">
        <v>95</v>
      </c>
      <c r="C46" t="s">
        <v>112</v>
      </c>
      <c r="D46" t="s">
        <v>113</v>
      </c>
      <c r="I46">
        <f t="shared" si="0"/>
        <v>0</v>
      </c>
      <c r="J46">
        <f t="shared" si="1"/>
        <v>0</v>
      </c>
    </row>
    <row r="47" spans="1:10" x14ac:dyDescent="0.2">
      <c r="A47" t="s">
        <v>94</v>
      </c>
      <c r="B47" t="s">
        <v>95</v>
      </c>
      <c r="C47" t="s">
        <v>107</v>
      </c>
      <c r="D47" t="s">
        <v>111</v>
      </c>
    </row>
    <row r="48" spans="1:10" x14ac:dyDescent="0.2">
      <c r="A48" t="s">
        <v>94</v>
      </c>
      <c r="B48" t="s">
        <v>95</v>
      </c>
      <c r="C48" t="s">
        <v>109</v>
      </c>
      <c r="D48" t="s">
        <v>110</v>
      </c>
      <c r="I48">
        <f>SUM(E48,G48)</f>
        <v>0</v>
      </c>
      <c r="J48">
        <f>SUM(F48,H48)</f>
        <v>0</v>
      </c>
    </row>
    <row r="49" spans="1:10" x14ac:dyDescent="0.2">
      <c r="A49" t="s">
        <v>94</v>
      </c>
      <c r="B49" t="s">
        <v>95</v>
      </c>
      <c r="C49" t="s">
        <v>107</v>
      </c>
      <c r="D49" t="s">
        <v>108</v>
      </c>
      <c r="E49">
        <v>0.3</v>
      </c>
      <c r="F49">
        <v>0</v>
      </c>
    </row>
    <row r="50" spans="1:10" x14ac:dyDescent="0.2">
      <c r="A50" t="s">
        <v>94</v>
      </c>
      <c r="B50" t="s">
        <v>95</v>
      </c>
      <c r="C50" t="s">
        <v>102</v>
      </c>
      <c r="D50" t="s">
        <v>106</v>
      </c>
    </row>
    <row r="51" spans="1:10" x14ac:dyDescent="0.2">
      <c r="A51" t="s">
        <v>94</v>
      </c>
      <c r="B51" t="s">
        <v>95</v>
      </c>
      <c r="C51" t="s">
        <v>102</v>
      </c>
      <c r="D51" t="s">
        <v>550</v>
      </c>
    </row>
    <row r="52" spans="1:10" x14ac:dyDescent="0.2">
      <c r="A52" t="s">
        <v>94</v>
      </c>
      <c r="B52" t="s">
        <v>95</v>
      </c>
      <c r="C52" t="s">
        <v>104</v>
      </c>
      <c r="D52" t="s">
        <v>105</v>
      </c>
      <c r="I52">
        <f t="shared" ref="I52:I68" si="2">SUM(E52,G52)</f>
        <v>0</v>
      </c>
      <c r="J52">
        <f t="shared" ref="J52:J68" si="3">SUM(F52,H52)</f>
        <v>0</v>
      </c>
    </row>
    <row r="53" spans="1:10" x14ac:dyDescent="0.2">
      <c r="A53" t="s">
        <v>94</v>
      </c>
      <c r="B53" t="s">
        <v>95</v>
      </c>
      <c r="C53" t="s">
        <v>100</v>
      </c>
      <c r="D53" t="s">
        <v>101</v>
      </c>
      <c r="I53">
        <f t="shared" si="2"/>
        <v>0</v>
      </c>
      <c r="J53">
        <f t="shared" si="3"/>
        <v>0</v>
      </c>
    </row>
    <row r="54" spans="1:10" x14ac:dyDescent="0.2">
      <c r="A54" t="s">
        <v>94</v>
      </c>
      <c r="B54" t="s">
        <v>95</v>
      </c>
      <c r="C54" t="s">
        <v>98</v>
      </c>
      <c r="D54" t="s">
        <v>99</v>
      </c>
      <c r="I54">
        <f t="shared" si="2"/>
        <v>0</v>
      </c>
      <c r="J54">
        <f t="shared" si="3"/>
        <v>0</v>
      </c>
    </row>
    <row r="55" spans="1:10" x14ac:dyDescent="0.2">
      <c r="A55" t="s">
        <v>94</v>
      </c>
      <c r="B55" t="s">
        <v>95</v>
      </c>
      <c r="C55" t="s">
        <v>96</v>
      </c>
      <c r="D55" t="s">
        <v>97</v>
      </c>
      <c r="I55">
        <f t="shared" si="2"/>
        <v>0</v>
      </c>
      <c r="J55">
        <f t="shared" si="3"/>
        <v>0</v>
      </c>
    </row>
    <row r="56" spans="1:10" x14ac:dyDescent="0.2">
      <c r="A56" t="s">
        <v>94</v>
      </c>
      <c r="B56" t="s">
        <v>40</v>
      </c>
      <c r="C56" t="s">
        <v>114</v>
      </c>
      <c r="D56" t="s">
        <v>115</v>
      </c>
      <c r="I56">
        <f t="shared" si="2"/>
        <v>0</v>
      </c>
      <c r="J56">
        <f t="shared" si="3"/>
        <v>0</v>
      </c>
    </row>
    <row r="57" spans="1:10" x14ac:dyDescent="0.2">
      <c r="A57" t="s">
        <v>94</v>
      </c>
      <c r="B57" t="s">
        <v>116</v>
      </c>
      <c r="C57" t="s">
        <v>109</v>
      </c>
      <c r="D57" t="s">
        <v>117</v>
      </c>
      <c r="E57">
        <v>1</v>
      </c>
      <c r="F57">
        <v>0</v>
      </c>
      <c r="G57">
        <v>1</v>
      </c>
      <c r="H57">
        <v>0</v>
      </c>
      <c r="I57">
        <f t="shared" si="2"/>
        <v>2</v>
      </c>
      <c r="J57">
        <f t="shared" si="3"/>
        <v>0</v>
      </c>
    </row>
    <row r="58" spans="1:10" x14ac:dyDescent="0.2">
      <c r="A58" t="s">
        <v>94</v>
      </c>
      <c r="B58" t="s">
        <v>118</v>
      </c>
      <c r="C58" t="s">
        <v>119</v>
      </c>
      <c r="D58" t="s">
        <v>120</v>
      </c>
      <c r="I58">
        <f t="shared" si="2"/>
        <v>0</v>
      </c>
      <c r="J58">
        <f t="shared" si="3"/>
        <v>0</v>
      </c>
    </row>
    <row r="59" spans="1:10" x14ac:dyDescent="0.2">
      <c r="A59" t="s">
        <v>121</v>
      </c>
      <c r="B59" t="s">
        <v>122</v>
      </c>
      <c r="C59" t="s">
        <v>135</v>
      </c>
      <c r="D59" t="s">
        <v>136</v>
      </c>
      <c r="I59">
        <f t="shared" si="2"/>
        <v>0</v>
      </c>
      <c r="J59">
        <f t="shared" si="3"/>
        <v>0</v>
      </c>
    </row>
    <row r="60" spans="1:10" x14ac:dyDescent="0.2">
      <c r="A60" t="s">
        <v>121</v>
      </c>
      <c r="B60" t="s">
        <v>122</v>
      </c>
      <c r="C60" t="s">
        <v>133</v>
      </c>
      <c r="D60" t="s">
        <v>134</v>
      </c>
      <c r="I60">
        <f t="shared" si="2"/>
        <v>0</v>
      </c>
      <c r="J60">
        <f t="shared" si="3"/>
        <v>0</v>
      </c>
    </row>
    <row r="61" spans="1:10" x14ac:dyDescent="0.2">
      <c r="A61" t="s">
        <v>121</v>
      </c>
      <c r="B61" t="s">
        <v>122</v>
      </c>
      <c r="C61" t="s">
        <v>131</v>
      </c>
      <c r="D61" t="s">
        <v>132</v>
      </c>
      <c r="G61">
        <v>1</v>
      </c>
      <c r="I61">
        <f t="shared" si="2"/>
        <v>1</v>
      </c>
      <c r="J61">
        <f t="shared" si="3"/>
        <v>0</v>
      </c>
    </row>
    <row r="62" spans="1:10" x14ac:dyDescent="0.2">
      <c r="A62" t="s">
        <v>121</v>
      </c>
      <c r="B62" t="s">
        <v>122</v>
      </c>
      <c r="C62" t="s">
        <v>129</v>
      </c>
      <c r="D62" t="s">
        <v>130</v>
      </c>
      <c r="G62">
        <v>4</v>
      </c>
      <c r="I62">
        <f t="shared" si="2"/>
        <v>4</v>
      </c>
      <c r="J62">
        <f t="shared" si="3"/>
        <v>0</v>
      </c>
    </row>
    <row r="63" spans="1:10" x14ac:dyDescent="0.2">
      <c r="A63" t="s">
        <v>121</v>
      </c>
      <c r="B63" t="s">
        <v>122</v>
      </c>
      <c r="C63" t="s">
        <v>127</v>
      </c>
      <c r="D63" t="s">
        <v>128</v>
      </c>
      <c r="I63">
        <f t="shared" si="2"/>
        <v>0</v>
      </c>
      <c r="J63">
        <f t="shared" si="3"/>
        <v>0</v>
      </c>
    </row>
    <row r="64" spans="1:10" x14ac:dyDescent="0.2">
      <c r="A64" t="s">
        <v>121</v>
      </c>
      <c r="B64" t="s">
        <v>122</v>
      </c>
      <c r="C64" t="s">
        <v>551</v>
      </c>
      <c r="D64" t="s">
        <v>128</v>
      </c>
      <c r="G64">
        <v>1</v>
      </c>
      <c r="H64">
        <v>0</v>
      </c>
      <c r="I64">
        <f t="shared" si="2"/>
        <v>1</v>
      </c>
      <c r="J64">
        <f t="shared" si="3"/>
        <v>0</v>
      </c>
    </row>
    <row r="65" spans="1:10" x14ac:dyDescent="0.2">
      <c r="A65" t="s">
        <v>121</v>
      </c>
      <c r="B65" t="s">
        <v>122</v>
      </c>
      <c r="C65" t="s">
        <v>125</v>
      </c>
      <c r="D65" t="s">
        <v>126</v>
      </c>
      <c r="H65">
        <v>30</v>
      </c>
      <c r="I65">
        <f t="shared" si="2"/>
        <v>0</v>
      </c>
      <c r="J65">
        <f t="shared" si="3"/>
        <v>30</v>
      </c>
    </row>
    <row r="66" spans="1:10" x14ac:dyDescent="0.2">
      <c r="A66" t="s">
        <v>121</v>
      </c>
      <c r="B66" t="s">
        <v>122</v>
      </c>
      <c r="C66" t="s">
        <v>123</v>
      </c>
      <c r="D66" t="s">
        <v>124</v>
      </c>
      <c r="I66">
        <f t="shared" si="2"/>
        <v>0</v>
      </c>
      <c r="J66">
        <f t="shared" si="3"/>
        <v>0</v>
      </c>
    </row>
    <row r="67" spans="1:10" x14ac:dyDescent="0.2">
      <c r="A67" t="s">
        <v>121</v>
      </c>
      <c r="B67" t="s">
        <v>137</v>
      </c>
      <c r="C67" t="s">
        <v>140</v>
      </c>
      <c r="D67" t="s">
        <v>141</v>
      </c>
      <c r="I67">
        <f t="shared" si="2"/>
        <v>0</v>
      </c>
      <c r="J67">
        <f t="shared" si="3"/>
        <v>0</v>
      </c>
    </row>
    <row r="68" spans="1:10" x14ac:dyDescent="0.2">
      <c r="A68" t="s">
        <v>121</v>
      </c>
      <c r="B68" t="s">
        <v>137</v>
      </c>
      <c r="C68" t="s">
        <v>138</v>
      </c>
      <c r="D68" t="s">
        <v>139</v>
      </c>
      <c r="I68">
        <f t="shared" si="2"/>
        <v>0</v>
      </c>
      <c r="J68">
        <f t="shared" si="3"/>
        <v>0</v>
      </c>
    </row>
    <row r="69" spans="1:10" x14ac:dyDescent="0.2">
      <c r="A69" t="s">
        <v>142</v>
      </c>
      <c r="B69" t="s">
        <v>143</v>
      </c>
      <c r="C69" t="s">
        <v>144</v>
      </c>
      <c r="D69" t="s">
        <v>146</v>
      </c>
      <c r="F69">
        <v>4</v>
      </c>
      <c r="H69">
        <v>15</v>
      </c>
      <c r="I69">
        <f t="shared" ref="I69:I98" si="4">SUM(E69,G69)</f>
        <v>0</v>
      </c>
      <c r="J69">
        <v>0</v>
      </c>
    </row>
    <row r="70" spans="1:10" x14ac:dyDescent="0.2">
      <c r="A70" t="s">
        <v>142</v>
      </c>
      <c r="B70" t="s">
        <v>143</v>
      </c>
      <c r="C70" t="s">
        <v>144</v>
      </c>
      <c r="D70" t="s">
        <v>145</v>
      </c>
      <c r="F70">
        <v>2</v>
      </c>
      <c r="I70">
        <f t="shared" si="4"/>
        <v>0</v>
      </c>
      <c r="J70">
        <f t="shared" ref="J70:J98" si="5">SUM(F70,H70)</f>
        <v>2</v>
      </c>
    </row>
    <row r="71" spans="1:10" x14ac:dyDescent="0.2">
      <c r="A71" t="s">
        <v>142</v>
      </c>
      <c r="B71" t="s">
        <v>147</v>
      </c>
      <c r="C71" t="s">
        <v>150</v>
      </c>
      <c r="D71" t="s">
        <v>152</v>
      </c>
      <c r="F71">
        <v>3</v>
      </c>
      <c r="I71">
        <f t="shared" si="4"/>
        <v>0</v>
      </c>
      <c r="J71">
        <f t="shared" si="5"/>
        <v>3</v>
      </c>
    </row>
    <row r="72" spans="1:10" x14ac:dyDescent="0.2">
      <c r="A72" t="s">
        <v>142</v>
      </c>
      <c r="B72" t="s">
        <v>147</v>
      </c>
      <c r="C72" t="s">
        <v>150</v>
      </c>
      <c r="D72" t="s">
        <v>151</v>
      </c>
      <c r="I72">
        <f t="shared" si="4"/>
        <v>0</v>
      </c>
      <c r="J72">
        <f t="shared" si="5"/>
        <v>0</v>
      </c>
    </row>
    <row r="73" spans="1:10" x14ac:dyDescent="0.2">
      <c r="A73" t="s">
        <v>142</v>
      </c>
      <c r="B73" t="s">
        <v>147</v>
      </c>
      <c r="C73" t="s">
        <v>148</v>
      </c>
      <c r="D73" t="s">
        <v>149</v>
      </c>
      <c r="F73">
        <v>3</v>
      </c>
      <c r="I73">
        <f t="shared" si="4"/>
        <v>0</v>
      </c>
      <c r="J73">
        <f t="shared" si="5"/>
        <v>3</v>
      </c>
    </row>
    <row r="74" spans="1:10" x14ac:dyDescent="0.2">
      <c r="A74" t="s">
        <v>142</v>
      </c>
      <c r="B74" t="s">
        <v>153</v>
      </c>
      <c r="C74" t="s">
        <v>154</v>
      </c>
      <c r="D74" t="s">
        <v>155</v>
      </c>
      <c r="E74">
        <v>1</v>
      </c>
      <c r="F74">
        <v>54</v>
      </c>
      <c r="I74">
        <f t="shared" si="4"/>
        <v>1</v>
      </c>
      <c r="J74">
        <f t="shared" si="5"/>
        <v>54</v>
      </c>
    </row>
    <row r="75" spans="1:10" x14ac:dyDescent="0.2">
      <c r="A75" t="s">
        <v>142</v>
      </c>
      <c r="B75" t="s">
        <v>156</v>
      </c>
      <c r="C75" t="s">
        <v>161</v>
      </c>
      <c r="D75" t="s">
        <v>173</v>
      </c>
      <c r="F75">
        <v>0.5</v>
      </c>
      <c r="I75">
        <f t="shared" si="4"/>
        <v>0</v>
      </c>
      <c r="J75">
        <f t="shared" si="5"/>
        <v>0.5</v>
      </c>
    </row>
    <row r="76" spans="1:10" x14ac:dyDescent="0.2">
      <c r="A76" t="s">
        <v>142</v>
      </c>
      <c r="B76" t="s">
        <v>156</v>
      </c>
      <c r="C76" t="s">
        <v>168</v>
      </c>
      <c r="D76" t="s">
        <v>172</v>
      </c>
      <c r="F76">
        <v>0.5</v>
      </c>
      <c r="I76">
        <f t="shared" si="4"/>
        <v>0</v>
      </c>
      <c r="J76">
        <f t="shared" si="5"/>
        <v>0.5</v>
      </c>
    </row>
    <row r="77" spans="1:10" x14ac:dyDescent="0.2">
      <c r="A77" t="s">
        <v>142</v>
      </c>
      <c r="B77" t="s">
        <v>156</v>
      </c>
      <c r="C77" t="s">
        <v>170</v>
      </c>
      <c r="D77" t="s">
        <v>171</v>
      </c>
      <c r="F77">
        <v>1</v>
      </c>
      <c r="I77">
        <f t="shared" si="4"/>
        <v>0</v>
      </c>
      <c r="J77">
        <f t="shared" si="5"/>
        <v>1</v>
      </c>
    </row>
    <row r="78" spans="1:10" x14ac:dyDescent="0.2">
      <c r="A78" t="s">
        <v>142</v>
      </c>
      <c r="B78" t="s">
        <v>156</v>
      </c>
      <c r="C78" t="s">
        <v>168</v>
      </c>
      <c r="D78" t="s">
        <v>169</v>
      </c>
      <c r="I78">
        <f t="shared" si="4"/>
        <v>0</v>
      </c>
      <c r="J78">
        <f t="shared" si="5"/>
        <v>0</v>
      </c>
    </row>
    <row r="79" spans="1:10" x14ac:dyDescent="0.2">
      <c r="A79" t="s">
        <v>142</v>
      </c>
      <c r="B79" t="s">
        <v>156</v>
      </c>
      <c r="C79" t="s">
        <v>157</v>
      </c>
      <c r="D79" t="s">
        <v>167</v>
      </c>
      <c r="F79">
        <v>1.5</v>
      </c>
      <c r="I79">
        <f t="shared" si="4"/>
        <v>0</v>
      </c>
      <c r="J79">
        <f t="shared" si="5"/>
        <v>1.5</v>
      </c>
    </row>
    <row r="80" spans="1:10" x14ac:dyDescent="0.2">
      <c r="A80" t="s">
        <v>142</v>
      </c>
      <c r="B80" t="s">
        <v>156</v>
      </c>
      <c r="C80" t="s">
        <v>157</v>
      </c>
      <c r="D80" t="s">
        <v>166</v>
      </c>
      <c r="F80">
        <v>0.5</v>
      </c>
      <c r="I80">
        <f t="shared" si="4"/>
        <v>0</v>
      </c>
      <c r="J80">
        <f t="shared" si="5"/>
        <v>0.5</v>
      </c>
    </row>
    <row r="81" spans="1:10" x14ac:dyDescent="0.2">
      <c r="A81" t="s">
        <v>142</v>
      </c>
      <c r="B81" t="s">
        <v>156</v>
      </c>
      <c r="C81" t="s">
        <v>157</v>
      </c>
      <c r="D81" t="s">
        <v>165</v>
      </c>
      <c r="F81">
        <v>1.5</v>
      </c>
      <c r="I81">
        <f t="shared" si="4"/>
        <v>0</v>
      </c>
      <c r="J81">
        <f t="shared" si="5"/>
        <v>1.5</v>
      </c>
    </row>
    <row r="82" spans="1:10" x14ac:dyDescent="0.2">
      <c r="A82" t="s">
        <v>142</v>
      </c>
      <c r="B82" t="s">
        <v>156</v>
      </c>
      <c r="C82" t="s">
        <v>157</v>
      </c>
      <c r="D82" t="s">
        <v>164</v>
      </c>
      <c r="F82">
        <v>1</v>
      </c>
      <c r="I82">
        <f t="shared" si="4"/>
        <v>0</v>
      </c>
      <c r="J82">
        <f t="shared" si="5"/>
        <v>1</v>
      </c>
    </row>
    <row r="83" spans="1:10" x14ac:dyDescent="0.2">
      <c r="A83" t="s">
        <v>142</v>
      </c>
      <c r="B83" t="s">
        <v>156</v>
      </c>
      <c r="C83" t="s">
        <v>157</v>
      </c>
      <c r="D83" t="s">
        <v>163</v>
      </c>
      <c r="F83">
        <v>1.8</v>
      </c>
      <c r="I83">
        <f t="shared" si="4"/>
        <v>0</v>
      </c>
      <c r="J83">
        <f t="shared" si="5"/>
        <v>1.8</v>
      </c>
    </row>
    <row r="84" spans="1:10" x14ac:dyDescent="0.2">
      <c r="A84" t="s">
        <v>142</v>
      </c>
      <c r="B84" t="s">
        <v>156</v>
      </c>
      <c r="C84" t="s">
        <v>161</v>
      </c>
      <c r="D84" t="s">
        <v>162</v>
      </c>
      <c r="I84">
        <f t="shared" si="4"/>
        <v>0</v>
      </c>
      <c r="J84">
        <f t="shared" si="5"/>
        <v>0</v>
      </c>
    </row>
    <row r="85" spans="1:10" x14ac:dyDescent="0.2">
      <c r="A85" t="s">
        <v>142</v>
      </c>
      <c r="B85" t="s">
        <v>156</v>
      </c>
      <c r="C85" t="s">
        <v>159</v>
      </c>
      <c r="D85" t="s">
        <v>160</v>
      </c>
      <c r="I85">
        <f t="shared" si="4"/>
        <v>0</v>
      </c>
      <c r="J85">
        <f t="shared" si="5"/>
        <v>0</v>
      </c>
    </row>
    <row r="86" spans="1:10" x14ac:dyDescent="0.2">
      <c r="A86" t="s">
        <v>142</v>
      </c>
      <c r="B86" t="s">
        <v>156</v>
      </c>
      <c r="C86" t="s">
        <v>157</v>
      </c>
      <c r="D86" t="s">
        <v>158</v>
      </c>
      <c r="F86">
        <v>0.5</v>
      </c>
      <c r="I86">
        <f t="shared" si="4"/>
        <v>0</v>
      </c>
      <c r="J86">
        <f t="shared" si="5"/>
        <v>0.5</v>
      </c>
    </row>
    <row r="87" spans="1:10" x14ac:dyDescent="0.2">
      <c r="A87" t="s">
        <v>142</v>
      </c>
      <c r="B87" t="s">
        <v>156</v>
      </c>
      <c r="C87" t="s">
        <v>159</v>
      </c>
      <c r="D87" t="s">
        <v>552</v>
      </c>
      <c r="I87">
        <f t="shared" si="4"/>
        <v>0</v>
      </c>
      <c r="J87">
        <f t="shared" si="5"/>
        <v>0</v>
      </c>
    </row>
    <row r="88" spans="1:10" x14ac:dyDescent="0.2">
      <c r="A88" t="s">
        <v>174</v>
      </c>
      <c r="B88" t="s">
        <v>175</v>
      </c>
      <c r="C88" t="s">
        <v>56</v>
      </c>
      <c r="D88" t="s">
        <v>176</v>
      </c>
      <c r="F88">
        <v>16</v>
      </c>
      <c r="I88">
        <f t="shared" si="4"/>
        <v>0</v>
      </c>
      <c r="J88">
        <f t="shared" si="5"/>
        <v>16</v>
      </c>
    </row>
    <row r="89" spans="1:10" x14ac:dyDescent="0.2">
      <c r="A89" t="s">
        <v>174</v>
      </c>
      <c r="B89" t="s">
        <v>177</v>
      </c>
      <c r="C89" t="s">
        <v>178</v>
      </c>
      <c r="D89" t="s">
        <v>179</v>
      </c>
      <c r="G89">
        <v>4</v>
      </c>
      <c r="I89">
        <f t="shared" si="4"/>
        <v>4</v>
      </c>
      <c r="J89">
        <f t="shared" si="5"/>
        <v>0</v>
      </c>
    </row>
    <row r="90" spans="1:10" x14ac:dyDescent="0.2">
      <c r="A90" t="s">
        <v>180</v>
      </c>
      <c r="B90" t="s">
        <v>181</v>
      </c>
      <c r="C90" t="s">
        <v>182</v>
      </c>
      <c r="D90" t="s">
        <v>186</v>
      </c>
      <c r="F90">
        <v>5.5</v>
      </c>
      <c r="G90">
        <v>4</v>
      </c>
      <c r="I90">
        <f t="shared" si="4"/>
        <v>4</v>
      </c>
      <c r="J90">
        <f t="shared" si="5"/>
        <v>5.5</v>
      </c>
    </row>
    <row r="91" spans="1:10" x14ac:dyDescent="0.2">
      <c r="A91" t="s">
        <v>180</v>
      </c>
      <c r="B91" t="s">
        <v>181</v>
      </c>
      <c r="C91" t="s">
        <v>184</v>
      </c>
      <c r="D91" t="s">
        <v>185</v>
      </c>
      <c r="F91">
        <v>1.5</v>
      </c>
      <c r="G91">
        <v>3</v>
      </c>
      <c r="I91">
        <f t="shared" si="4"/>
        <v>3</v>
      </c>
      <c r="J91">
        <f t="shared" si="5"/>
        <v>1.5</v>
      </c>
    </row>
    <row r="92" spans="1:10" x14ac:dyDescent="0.2">
      <c r="A92" t="s">
        <v>180</v>
      </c>
      <c r="B92" t="s">
        <v>181</v>
      </c>
      <c r="C92" t="s">
        <v>182</v>
      </c>
      <c r="D92" t="s">
        <v>183</v>
      </c>
      <c r="I92">
        <f t="shared" si="4"/>
        <v>0</v>
      </c>
      <c r="J92">
        <f t="shared" si="5"/>
        <v>0</v>
      </c>
    </row>
    <row r="93" spans="1:10" x14ac:dyDescent="0.2">
      <c r="A93" t="s">
        <v>180</v>
      </c>
      <c r="B93" t="s">
        <v>187</v>
      </c>
      <c r="C93" t="s">
        <v>51</v>
      </c>
      <c r="D93" t="s">
        <v>553</v>
      </c>
      <c r="I93">
        <f t="shared" si="4"/>
        <v>0</v>
      </c>
      <c r="J93">
        <f t="shared" si="5"/>
        <v>0</v>
      </c>
    </row>
    <row r="94" spans="1:10" x14ac:dyDescent="0.2">
      <c r="A94" t="s">
        <v>180</v>
      </c>
      <c r="B94" t="s">
        <v>187</v>
      </c>
      <c r="C94" t="s">
        <v>51</v>
      </c>
      <c r="D94" t="s">
        <v>192</v>
      </c>
      <c r="I94">
        <f t="shared" si="4"/>
        <v>0</v>
      </c>
      <c r="J94">
        <f t="shared" si="5"/>
        <v>0</v>
      </c>
    </row>
    <row r="95" spans="1:10" x14ac:dyDescent="0.2">
      <c r="A95" t="s">
        <v>180</v>
      </c>
      <c r="B95" t="s">
        <v>187</v>
      </c>
      <c r="C95" t="s">
        <v>190</v>
      </c>
      <c r="D95" t="s">
        <v>191</v>
      </c>
      <c r="I95">
        <f t="shared" si="4"/>
        <v>0</v>
      </c>
      <c r="J95">
        <f t="shared" si="5"/>
        <v>0</v>
      </c>
    </row>
    <row r="96" spans="1:10" x14ac:dyDescent="0.2">
      <c r="A96" t="s">
        <v>180</v>
      </c>
      <c r="B96" t="s">
        <v>187</v>
      </c>
      <c r="C96" t="s">
        <v>188</v>
      </c>
      <c r="D96" t="s">
        <v>189</v>
      </c>
      <c r="I96">
        <f t="shared" si="4"/>
        <v>0</v>
      </c>
      <c r="J96">
        <f t="shared" si="5"/>
        <v>0</v>
      </c>
    </row>
    <row r="97" spans="1:10" x14ac:dyDescent="0.2">
      <c r="A97" t="s">
        <v>193</v>
      </c>
      <c r="B97" t="s">
        <v>194</v>
      </c>
      <c r="C97" t="s">
        <v>195</v>
      </c>
      <c r="D97" t="s">
        <v>196</v>
      </c>
      <c r="I97">
        <f t="shared" si="4"/>
        <v>0</v>
      </c>
      <c r="J97">
        <f t="shared" si="5"/>
        <v>0</v>
      </c>
    </row>
    <row r="98" spans="1:10" x14ac:dyDescent="0.2">
      <c r="A98" t="s">
        <v>193</v>
      </c>
      <c r="B98" t="s">
        <v>194</v>
      </c>
      <c r="C98" t="s">
        <v>197</v>
      </c>
      <c r="D98" t="s">
        <v>198</v>
      </c>
      <c r="I98">
        <f t="shared" si="4"/>
        <v>0</v>
      </c>
      <c r="J98">
        <f t="shared" si="5"/>
        <v>0</v>
      </c>
    </row>
    <row r="99" spans="1:10" x14ac:dyDescent="0.2">
      <c r="A99" t="s">
        <v>193</v>
      </c>
      <c r="B99" t="s">
        <v>194</v>
      </c>
      <c r="C99" t="s">
        <v>197</v>
      </c>
      <c r="D99" t="s">
        <v>203</v>
      </c>
    </row>
    <row r="100" spans="1:10" x14ac:dyDescent="0.2">
      <c r="A100" t="s">
        <v>193</v>
      </c>
      <c r="B100" t="s">
        <v>194</v>
      </c>
      <c r="C100" t="s">
        <v>25</v>
      </c>
      <c r="D100" t="s">
        <v>199</v>
      </c>
      <c r="F100">
        <v>29</v>
      </c>
      <c r="I100">
        <f t="shared" ref="I100:I121" si="6">SUM(E100,G100)</f>
        <v>0</v>
      </c>
      <c r="J100">
        <f t="shared" ref="J100:J121" si="7">SUM(F100,H100)</f>
        <v>29</v>
      </c>
    </row>
    <row r="101" spans="1:10" x14ac:dyDescent="0.2">
      <c r="A101" t="s">
        <v>193</v>
      </c>
      <c r="B101" t="s">
        <v>194</v>
      </c>
      <c r="C101" t="s">
        <v>195</v>
      </c>
      <c r="D101" t="s">
        <v>200</v>
      </c>
      <c r="I101">
        <f t="shared" si="6"/>
        <v>0</v>
      </c>
      <c r="J101">
        <f t="shared" si="7"/>
        <v>0</v>
      </c>
    </row>
    <row r="102" spans="1:10" x14ac:dyDescent="0.2">
      <c r="A102" t="s">
        <v>193</v>
      </c>
      <c r="B102" t="s">
        <v>194</v>
      </c>
      <c r="C102" t="s">
        <v>25</v>
      </c>
      <c r="D102" t="s">
        <v>201</v>
      </c>
      <c r="I102">
        <f t="shared" si="6"/>
        <v>0</v>
      </c>
      <c r="J102">
        <f t="shared" si="7"/>
        <v>0</v>
      </c>
    </row>
    <row r="103" spans="1:10" x14ac:dyDescent="0.2">
      <c r="A103" t="s">
        <v>193</v>
      </c>
      <c r="B103" t="s">
        <v>194</v>
      </c>
      <c r="C103" t="s">
        <v>197</v>
      </c>
      <c r="D103" t="s">
        <v>202</v>
      </c>
      <c r="F103">
        <v>14</v>
      </c>
      <c r="G103">
        <v>2</v>
      </c>
      <c r="I103">
        <f t="shared" si="6"/>
        <v>2</v>
      </c>
      <c r="J103">
        <f t="shared" si="7"/>
        <v>14</v>
      </c>
    </row>
    <row r="104" spans="1:10" x14ac:dyDescent="0.2">
      <c r="A104" t="s">
        <v>193</v>
      </c>
      <c r="B104" t="s">
        <v>194</v>
      </c>
      <c r="C104" t="s">
        <v>204</v>
      </c>
      <c r="D104" t="s">
        <v>205</v>
      </c>
      <c r="F104">
        <v>15</v>
      </c>
      <c r="G104">
        <v>2</v>
      </c>
      <c r="H104">
        <v>3</v>
      </c>
      <c r="I104">
        <f t="shared" si="6"/>
        <v>2</v>
      </c>
      <c r="J104">
        <f t="shared" si="7"/>
        <v>18</v>
      </c>
    </row>
    <row r="105" spans="1:10" x14ac:dyDescent="0.2">
      <c r="A105" t="s">
        <v>193</v>
      </c>
      <c r="B105" t="s">
        <v>194</v>
      </c>
      <c r="C105" t="s">
        <v>195</v>
      </c>
      <c r="D105" t="s">
        <v>206</v>
      </c>
      <c r="I105">
        <f t="shared" si="6"/>
        <v>0</v>
      </c>
      <c r="J105">
        <f t="shared" si="7"/>
        <v>0</v>
      </c>
    </row>
    <row r="106" spans="1:10" x14ac:dyDescent="0.2">
      <c r="A106" t="s">
        <v>193</v>
      </c>
      <c r="B106" t="s">
        <v>194</v>
      </c>
      <c r="C106" t="s">
        <v>195</v>
      </c>
      <c r="D106" t="s">
        <v>207</v>
      </c>
      <c r="F106">
        <v>17</v>
      </c>
      <c r="G106">
        <v>2</v>
      </c>
      <c r="I106">
        <f t="shared" si="6"/>
        <v>2</v>
      </c>
      <c r="J106">
        <f t="shared" si="7"/>
        <v>17</v>
      </c>
    </row>
    <row r="107" spans="1:10" x14ac:dyDescent="0.2">
      <c r="A107" t="s">
        <v>193</v>
      </c>
      <c r="B107" t="s">
        <v>194</v>
      </c>
      <c r="C107" t="s">
        <v>195</v>
      </c>
      <c r="D107" t="s">
        <v>208</v>
      </c>
      <c r="I107">
        <f t="shared" si="6"/>
        <v>0</v>
      </c>
      <c r="J107">
        <f t="shared" si="7"/>
        <v>0</v>
      </c>
    </row>
    <row r="108" spans="1:10" x14ac:dyDescent="0.2">
      <c r="A108" t="s">
        <v>193</v>
      </c>
      <c r="B108" t="s">
        <v>194</v>
      </c>
      <c r="C108" t="s">
        <v>195</v>
      </c>
      <c r="D108" t="s">
        <v>209</v>
      </c>
      <c r="I108">
        <f t="shared" si="6"/>
        <v>0</v>
      </c>
      <c r="J108">
        <f t="shared" si="7"/>
        <v>0</v>
      </c>
    </row>
    <row r="109" spans="1:10" x14ac:dyDescent="0.2">
      <c r="A109" t="s">
        <v>193</v>
      </c>
      <c r="B109" t="s">
        <v>194</v>
      </c>
      <c r="C109" t="s">
        <v>204</v>
      </c>
      <c r="D109" t="s">
        <v>210</v>
      </c>
      <c r="F109">
        <v>15</v>
      </c>
      <c r="G109">
        <v>1</v>
      </c>
      <c r="I109">
        <f t="shared" si="6"/>
        <v>1</v>
      </c>
      <c r="J109">
        <f t="shared" si="7"/>
        <v>15</v>
      </c>
    </row>
    <row r="110" spans="1:10" x14ac:dyDescent="0.2">
      <c r="A110" t="s">
        <v>193</v>
      </c>
      <c r="B110" t="s">
        <v>194</v>
      </c>
      <c r="C110" t="s">
        <v>195</v>
      </c>
      <c r="D110" t="s">
        <v>211</v>
      </c>
      <c r="F110">
        <v>8</v>
      </c>
      <c r="H110">
        <v>20</v>
      </c>
      <c r="I110">
        <f t="shared" si="6"/>
        <v>0</v>
      </c>
      <c r="J110">
        <f t="shared" si="7"/>
        <v>28</v>
      </c>
    </row>
    <row r="111" spans="1:10" x14ac:dyDescent="0.2">
      <c r="A111" t="s">
        <v>193</v>
      </c>
      <c r="B111" t="s">
        <v>194</v>
      </c>
      <c r="C111" t="s">
        <v>195</v>
      </c>
      <c r="D111" t="s">
        <v>212</v>
      </c>
      <c r="F111">
        <v>14</v>
      </c>
      <c r="I111">
        <f t="shared" si="6"/>
        <v>0</v>
      </c>
      <c r="J111">
        <f t="shared" si="7"/>
        <v>14</v>
      </c>
    </row>
    <row r="112" spans="1:10" x14ac:dyDescent="0.2">
      <c r="A112" t="s">
        <v>193</v>
      </c>
      <c r="B112" t="s">
        <v>194</v>
      </c>
      <c r="C112" t="s">
        <v>195</v>
      </c>
      <c r="D112" t="s">
        <v>213</v>
      </c>
      <c r="F112">
        <v>14</v>
      </c>
      <c r="I112">
        <f t="shared" si="6"/>
        <v>0</v>
      </c>
      <c r="J112">
        <f t="shared" si="7"/>
        <v>14</v>
      </c>
    </row>
    <row r="113" spans="1:10" x14ac:dyDescent="0.2">
      <c r="A113" t="s">
        <v>193</v>
      </c>
      <c r="B113" t="s">
        <v>194</v>
      </c>
      <c r="C113" t="s">
        <v>214</v>
      </c>
      <c r="D113" t="s">
        <v>215</v>
      </c>
      <c r="F113">
        <v>25</v>
      </c>
      <c r="H113">
        <v>18</v>
      </c>
      <c r="I113">
        <f t="shared" si="6"/>
        <v>0</v>
      </c>
      <c r="J113">
        <f t="shared" si="7"/>
        <v>43</v>
      </c>
    </row>
    <row r="114" spans="1:10" x14ac:dyDescent="0.2">
      <c r="A114" t="s">
        <v>193</v>
      </c>
      <c r="B114" t="s">
        <v>194</v>
      </c>
      <c r="C114" t="s">
        <v>204</v>
      </c>
      <c r="D114" t="s">
        <v>216</v>
      </c>
      <c r="F114">
        <v>13</v>
      </c>
      <c r="H114">
        <v>5</v>
      </c>
      <c r="I114">
        <f t="shared" si="6"/>
        <v>0</v>
      </c>
      <c r="J114">
        <f t="shared" si="7"/>
        <v>18</v>
      </c>
    </row>
    <row r="115" spans="1:10" x14ac:dyDescent="0.2">
      <c r="A115" t="s">
        <v>193</v>
      </c>
      <c r="B115" t="s">
        <v>194</v>
      </c>
      <c r="C115" t="s">
        <v>204</v>
      </c>
      <c r="D115" t="s">
        <v>217</v>
      </c>
      <c r="F115">
        <v>13</v>
      </c>
      <c r="G115">
        <v>1</v>
      </c>
      <c r="I115">
        <f t="shared" si="6"/>
        <v>1</v>
      </c>
      <c r="J115">
        <f t="shared" si="7"/>
        <v>13</v>
      </c>
    </row>
    <row r="116" spans="1:10" x14ac:dyDescent="0.2">
      <c r="A116" t="s">
        <v>193</v>
      </c>
      <c r="B116" t="s">
        <v>194</v>
      </c>
      <c r="C116" t="s">
        <v>195</v>
      </c>
      <c r="D116" t="s">
        <v>220</v>
      </c>
      <c r="F116">
        <v>21</v>
      </c>
      <c r="H116">
        <v>20</v>
      </c>
      <c r="I116">
        <f t="shared" si="6"/>
        <v>0</v>
      </c>
      <c r="J116">
        <f t="shared" si="7"/>
        <v>41</v>
      </c>
    </row>
    <row r="117" spans="1:10" x14ac:dyDescent="0.2">
      <c r="A117" t="s">
        <v>193</v>
      </c>
      <c r="B117" t="s">
        <v>194</v>
      </c>
      <c r="C117" t="s">
        <v>195</v>
      </c>
      <c r="D117" t="s">
        <v>221</v>
      </c>
      <c r="F117">
        <v>12</v>
      </c>
      <c r="G117">
        <v>1</v>
      </c>
      <c r="I117">
        <f t="shared" si="6"/>
        <v>1</v>
      </c>
      <c r="J117">
        <f t="shared" si="7"/>
        <v>12</v>
      </c>
    </row>
    <row r="118" spans="1:10" x14ac:dyDescent="0.2">
      <c r="A118" t="s">
        <v>193</v>
      </c>
      <c r="B118" t="s">
        <v>194</v>
      </c>
      <c r="C118" t="s">
        <v>195</v>
      </c>
      <c r="D118" t="s">
        <v>554</v>
      </c>
      <c r="I118">
        <f t="shared" si="6"/>
        <v>0</v>
      </c>
      <c r="J118">
        <f t="shared" si="7"/>
        <v>0</v>
      </c>
    </row>
    <row r="119" spans="1:10" x14ac:dyDescent="0.2">
      <c r="A119" t="s">
        <v>193</v>
      </c>
      <c r="B119" t="s">
        <v>194</v>
      </c>
      <c r="C119" t="s">
        <v>25</v>
      </c>
      <c r="D119" t="s">
        <v>224</v>
      </c>
      <c r="I119">
        <f t="shared" si="6"/>
        <v>0</v>
      </c>
      <c r="J119">
        <f t="shared" si="7"/>
        <v>0</v>
      </c>
    </row>
    <row r="120" spans="1:10" x14ac:dyDescent="0.2">
      <c r="A120" t="s">
        <v>193</v>
      </c>
      <c r="B120" t="s">
        <v>194</v>
      </c>
      <c r="C120" t="s">
        <v>197</v>
      </c>
      <c r="D120" t="s">
        <v>225</v>
      </c>
      <c r="I120">
        <f t="shared" si="6"/>
        <v>0</v>
      </c>
      <c r="J120">
        <f t="shared" si="7"/>
        <v>0</v>
      </c>
    </row>
    <row r="121" spans="1:10" x14ac:dyDescent="0.2">
      <c r="A121" t="s">
        <v>193</v>
      </c>
      <c r="B121" t="s">
        <v>194</v>
      </c>
      <c r="C121" t="s">
        <v>197</v>
      </c>
      <c r="D121" t="s">
        <v>226</v>
      </c>
      <c r="I121">
        <f t="shared" si="6"/>
        <v>0</v>
      </c>
      <c r="J121">
        <f t="shared" si="7"/>
        <v>0</v>
      </c>
    </row>
    <row r="122" spans="1:10" x14ac:dyDescent="0.2">
      <c r="A122" t="s">
        <v>193</v>
      </c>
      <c r="B122" t="s">
        <v>194</v>
      </c>
      <c r="C122" t="s">
        <v>222</v>
      </c>
      <c r="D122" t="s">
        <v>223</v>
      </c>
    </row>
    <row r="123" spans="1:10" x14ac:dyDescent="0.2">
      <c r="A123" t="s">
        <v>193</v>
      </c>
      <c r="B123" t="s">
        <v>48</v>
      </c>
      <c r="C123" t="s">
        <v>51</v>
      </c>
      <c r="D123" t="s">
        <v>227</v>
      </c>
      <c r="I123">
        <f t="shared" ref="I123:I154" si="8">SUM(E123,G123)</f>
        <v>0</v>
      </c>
      <c r="J123">
        <f t="shared" ref="J123:J154" si="9">SUM(F123,H123)</f>
        <v>0</v>
      </c>
    </row>
    <row r="124" spans="1:10" x14ac:dyDescent="0.2">
      <c r="A124" t="s">
        <v>193</v>
      </c>
      <c r="B124" t="s">
        <v>228</v>
      </c>
      <c r="C124" t="s">
        <v>56</v>
      </c>
      <c r="D124" t="s">
        <v>229</v>
      </c>
      <c r="I124">
        <f t="shared" si="8"/>
        <v>0</v>
      </c>
      <c r="J124">
        <f t="shared" si="9"/>
        <v>0</v>
      </c>
    </row>
    <row r="125" spans="1:10" x14ac:dyDescent="0.2">
      <c r="A125" t="s">
        <v>193</v>
      </c>
      <c r="B125" t="s">
        <v>230</v>
      </c>
      <c r="C125" t="s">
        <v>231</v>
      </c>
      <c r="D125" t="s">
        <v>232</v>
      </c>
      <c r="I125">
        <f t="shared" si="8"/>
        <v>0</v>
      </c>
      <c r="J125">
        <f t="shared" si="9"/>
        <v>0</v>
      </c>
    </row>
    <row r="126" spans="1:10" x14ac:dyDescent="0.2">
      <c r="A126" t="s">
        <v>193</v>
      </c>
      <c r="B126" t="s">
        <v>233</v>
      </c>
      <c r="C126" t="s">
        <v>231</v>
      </c>
      <c r="D126" t="s">
        <v>234</v>
      </c>
      <c r="F126">
        <v>2</v>
      </c>
      <c r="I126">
        <f t="shared" si="8"/>
        <v>0</v>
      </c>
      <c r="J126">
        <f t="shared" si="9"/>
        <v>2</v>
      </c>
    </row>
    <row r="127" spans="1:10" x14ac:dyDescent="0.2">
      <c r="A127" t="s">
        <v>193</v>
      </c>
      <c r="B127" t="s">
        <v>233</v>
      </c>
      <c r="C127" t="s">
        <v>190</v>
      </c>
      <c r="D127" t="s">
        <v>235</v>
      </c>
      <c r="F127">
        <v>2</v>
      </c>
      <c r="I127">
        <f t="shared" si="8"/>
        <v>0</v>
      </c>
      <c r="J127">
        <f t="shared" si="9"/>
        <v>2</v>
      </c>
    </row>
    <row r="128" spans="1:10" x14ac:dyDescent="0.2">
      <c r="A128" t="s">
        <v>193</v>
      </c>
      <c r="B128" t="s">
        <v>233</v>
      </c>
      <c r="C128" t="s">
        <v>190</v>
      </c>
      <c r="D128" t="s">
        <v>236</v>
      </c>
      <c r="F128">
        <v>1</v>
      </c>
      <c r="I128">
        <f t="shared" si="8"/>
        <v>0</v>
      </c>
      <c r="J128">
        <f t="shared" si="9"/>
        <v>1</v>
      </c>
    </row>
    <row r="129" spans="1:10" x14ac:dyDescent="0.2">
      <c r="A129" t="s">
        <v>193</v>
      </c>
      <c r="B129" t="s">
        <v>233</v>
      </c>
      <c r="C129" t="s">
        <v>190</v>
      </c>
      <c r="D129" t="s">
        <v>237</v>
      </c>
      <c r="F129">
        <v>1</v>
      </c>
      <c r="I129">
        <f t="shared" si="8"/>
        <v>0</v>
      </c>
      <c r="J129">
        <f t="shared" si="9"/>
        <v>1</v>
      </c>
    </row>
    <row r="130" spans="1:10" x14ac:dyDescent="0.2">
      <c r="A130" t="s">
        <v>193</v>
      </c>
      <c r="B130" t="s">
        <v>233</v>
      </c>
      <c r="C130" t="s">
        <v>190</v>
      </c>
      <c r="D130" t="s">
        <v>238</v>
      </c>
      <c r="I130">
        <f t="shared" si="8"/>
        <v>0</v>
      </c>
      <c r="J130">
        <f t="shared" si="9"/>
        <v>0</v>
      </c>
    </row>
    <row r="131" spans="1:10" x14ac:dyDescent="0.2">
      <c r="A131" t="s">
        <v>193</v>
      </c>
      <c r="B131" t="s">
        <v>233</v>
      </c>
      <c r="C131" t="s">
        <v>190</v>
      </c>
      <c r="D131" t="s">
        <v>555</v>
      </c>
      <c r="F131">
        <v>0.5</v>
      </c>
      <c r="H131">
        <v>4</v>
      </c>
      <c r="I131">
        <f t="shared" si="8"/>
        <v>0</v>
      </c>
      <c r="J131">
        <f t="shared" si="9"/>
        <v>4.5</v>
      </c>
    </row>
    <row r="132" spans="1:10" x14ac:dyDescent="0.2">
      <c r="A132" t="s">
        <v>193</v>
      </c>
      <c r="B132" t="s">
        <v>233</v>
      </c>
      <c r="C132" t="s">
        <v>240</v>
      </c>
      <c r="D132" t="s">
        <v>556</v>
      </c>
      <c r="I132">
        <f t="shared" si="8"/>
        <v>0</v>
      </c>
      <c r="J132">
        <f t="shared" si="9"/>
        <v>0</v>
      </c>
    </row>
    <row r="133" spans="1:10" x14ac:dyDescent="0.2">
      <c r="A133" t="s">
        <v>193</v>
      </c>
      <c r="B133" t="s">
        <v>233</v>
      </c>
      <c r="C133" t="s">
        <v>190</v>
      </c>
      <c r="D133" t="s">
        <v>242</v>
      </c>
      <c r="I133">
        <f t="shared" si="8"/>
        <v>0</v>
      </c>
      <c r="J133">
        <f t="shared" si="9"/>
        <v>0</v>
      </c>
    </row>
    <row r="134" spans="1:10" x14ac:dyDescent="0.2">
      <c r="A134" t="s">
        <v>193</v>
      </c>
      <c r="B134" t="s">
        <v>233</v>
      </c>
      <c r="C134" t="s">
        <v>67</v>
      </c>
      <c r="D134" t="s">
        <v>243</v>
      </c>
      <c r="I134">
        <f t="shared" si="8"/>
        <v>0</v>
      </c>
      <c r="J134">
        <f t="shared" si="9"/>
        <v>0</v>
      </c>
    </row>
    <row r="135" spans="1:10" x14ac:dyDescent="0.2">
      <c r="A135" t="s">
        <v>193</v>
      </c>
      <c r="B135" t="s">
        <v>233</v>
      </c>
      <c r="C135" t="s">
        <v>67</v>
      </c>
      <c r="D135" t="s">
        <v>244</v>
      </c>
      <c r="I135">
        <f t="shared" si="8"/>
        <v>0</v>
      </c>
      <c r="J135">
        <f t="shared" si="9"/>
        <v>0</v>
      </c>
    </row>
    <row r="136" spans="1:10" x14ac:dyDescent="0.2">
      <c r="A136" t="s">
        <v>193</v>
      </c>
      <c r="B136" t="s">
        <v>233</v>
      </c>
      <c r="C136" t="s">
        <v>245</v>
      </c>
      <c r="D136" t="s">
        <v>557</v>
      </c>
      <c r="I136">
        <f t="shared" si="8"/>
        <v>0</v>
      </c>
      <c r="J136">
        <f t="shared" si="9"/>
        <v>0</v>
      </c>
    </row>
    <row r="137" spans="1:10" x14ac:dyDescent="0.2">
      <c r="A137" t="s">
        <v>193</v>
      </c>
      <c r="B137" t="s">
        <v>233</v>
      </c>
      <c r="C137" t="s">
        <v>247</v>
      </c>
      <c r="D137" t="s">
        <v>248</v>
      </c>
      <c r="F137">
        <v>0.5</v>
      </c>
      <c r="I137">
        <f t="shared" si="8"/>
        <v>0</v>
      </c>
      <c r="J137">
        <f t="shared" si="9"/>
        <v>0.5</v>
      </c>
    </row>
    <row r="138" spans="1:10" x14ac:dyDescent="0.2">
      <c r="A138" t="s">
        <v>193</v>
      </c>
      <c r="B138" t="s">
        <v>233</v>
      </c>
      <c r="C138" t="s">
        <v>249</v>
      </c>
      <c r="D138" t="s">
        <v>250</v>
      </c>
      <c r="F138">
        <v>3</v>
      </c>
      <c r="I138">
        <f t="shared" si="8"/>
        <v>0</v>
      </c>
      <c r="J138">
        <f t="shared" si="9"/>
        <v>3</v>
      </c>
    </row>
    <row r="139" spans="1:10" x14ac:dyDescent="0.2">
      <c r="A139" t="s">
        <v>193</v>
      </c>
      <c r="B139" t="s">
        <v>175</v>
      </c>
      <c r="C139" t="s">
        <v>190</v>
      </c>
      <c r="D139" t="s">
        <v>251</v>
      </c>
      <c r="I139">
        <f t="shared" si="8"/>
        <v>0</v>
      </c>
      <c r="J139">
        <f t="shared" si="9"/>
        <v>0</v>
      </c>
    </row>
    <row r="140" spans="1:10" x14ac:dyDescent="0.2">
      <c r="A140" t="s">
        <v>193</v>
      </c>
      <c r="B140" t="s">
        <v>175</v>
      </c>
      <c r="C140" t="s">
        <v>252</v>
      </c>
      <c r="D140" t="s">
        <v>253</v>
      </c>
      <c r="F140">
        <v>2</v>
      </c>
      <c r="I140">
        <f t="shared" si="8"/>
        <v>0</v>
      </c>
      <c r="J140">
        <f t="shared" si="9"/>
        <v>2</v>
      </c>
    </row>
    <row r="141" spans="1:10" x14ac:dyDescent="0.2">
      <c r="A141" t="s">
        <v>193</v>
      </c>
      <c r="B141" t="s">
        <v>175</v>
      </c>
      <c r="C141" t="s">
        <v>252</v>
      </c>
      <c r="D141" t="s">
        <v>254</v>
      </c>
      <c r="F141">
        <v>1</v>
      </c>
      <c r="I141">
        <f t="shared" si="8"/>
        <v>0</v>
      </c>
      <c r="J141">
        <f t="shared" si="9"/>
        <v>1</v>
      </c>
    </row>
    <row r="142" spans="1:10" x14ac:dyDescent="0.2">
      <c r="A142" t="s">
        <v>193</v>
      </c>
      <c r="B142" t="s">
        <v>175</v>
      </c>
      <c r="C142" t="s">
        <v>249</v>
      </c>
      <c r="D142" t="s">
        <v>255</v>
      </c>
      <c r="F142">
        <v>3</v>
      </c>
      <c r="I142">
        <f t="shared" si="8"/>
        <v>0</v>
      </c>
      <c r="J142">
        <f t="shared" si="9"/>
        <v>3</v>
      </c>
    </row>
    <row r="143" spans="1:10" x14ac:dyDescent="0.2">
      <c r="A143" t="s">
        <v>193</v>
      </c>
      <c r="B143" t="s">
        <v>558</v>
      </c>
      <c r="C143" t="s">
        <v>195</v>
      </c>
      <c r="D143" t="s">
        <v>559</v>
      </c>
      <c r="I143">
        <f t="shared" si="8"/>
        <v>0</v>
      </c>
      <c r="J143">
        <f t="shared" si="9"/>
        <v>0</v>
      </c>
    </row>
    <row r="144" spans="1:10" x14ac:dyDescent="0.2">
      <c r="A144" t="s">
        <v>193</v>
      </c>
      <c r="B144" t="s">
        <v>256</v>
      </c>
      <c r="C144" t="s">
        <v>257</v>
      </c>
      <c r="D144" t="s">
        <v>258</v>
      </c>
      <c r="I144">
        <f t="shared" si="8"/>
        <v>0</v>
      </c>
      <c r="J144">
        <f t="shared" si="9"/>
        <v>0</v>
      </c>
    </row>
    <row r="145" spans="1:10" x14ac:dyDescent="0.2">
      <c r="A145" t="s">
        <v>193</v>
      </c>
      <c r="B145" t="s">
        <v>256</v>
      </c>
      <c r="C145" t="s">
        <v>259</v>
      </c>
      <c r="D145" t="s">
        <v>260</v>
      </c>
      <c r="I145">
        <f t="shared" si="8"/>
        <v>0</v>
      </c>
      <c r="J145">
        <f t="shared" si="9"/>
        <v>0</v>
      </c>
    </row>
    <row r="146" spans="1:10" x14ac:dyDescent="0.2">
      <c r="A146" t="s">
        <v>193</v>
      </c>
      <c r="B146" t="s">
        <v>261</v>
      </c>
      <c r="C146" t="s">
        <v>262</v>
      </c>
      <c r="D146" t="s">
        <v>263</v>
      </c>
      <c r="I146">
        <f t="shared" si="8"/>
        <v>0</v>
      </c>
      <c r="J146">
        <f t="shared" si="9"/>
        <v>0</v>
      </c>
    </row>
    <row r="147" spans="1:10" x14ac:dyDescent="0.2">
      <c r="A147" t="s">
        <v>193</v>
      </c>
      <c r="B147" t="s">
        <v>261</v>
      </c>
      <c r="C147" t="s">
        <v>25</v>
      </c>
      <c r="D147" t="s">
        <v>264</v>
      </c>
      <c r="I147">
        <f t="shared" si="8"/>
        <v>0</v>
      </c>
      <c r="J147">
        <f t="shared" si="9"/>
        <v>0</v>
      </c>
    </row>
    <row r="148" spans="1:10" x14ac:dyDescent="0.2">
      <c r="A148" t="s">
        <v>193</v>
      </c>
      <c r="B148" t="s">
        <v>261</v>
      </c>
      <c r="C148" t="s">
        <v>262</v>
      </c>
      <c r="D148" t="s">
        <v>265</v>
      </c>
      <c r="I148">
        <f t="shared" si="8"/>
        <v>0</v>
      </c>
      <c r="J148">
        <f t="shared" si="9"/>
        <v>0</v>
      </c>
    </row>
    <row r="149" spans="1:10" x14ac:dyDescent="0.2">
      <c r="A149" t="s">
        <v>193</v>
      </c>
      <c r="B149" t="s">
        <v>261</v>
      </c>
      <c r="C149" t="s">
        <v>25</v>
      </c>
      <c r="D149" t="s">
        <v>266</v>
      </c>
      <c r="I149">
        <f t="shared" si="8"/>
        <v>0</v>
      </c>
      <c r="J149">
        <f t="shared" si="9"/>
        <v>0</v>
      </c>
    </row>
    <row r="150" spans="1:10" x14ac:dyDescent="0.2">
      <c r="A150" t="s">
        <v>267</v>
      </c>
      <c r="B150" t="s">
        <v>274</v>
      </c>
      <c r="C150" t="s">
        <v>275</v>
      </c>
      <c r="D150" t="s">
        <v>276</v>
      </c>
      <c r="I150">
        <f t="shared" si="8"/>
        <v>0</v>
      </c>
      <c r="J150">
        <f t="shared" si="9"/>
        <v>0</v>
      </c>
    </row>
    <row r="151" spans="1:10" x14ac:dyDescent="0.2">
      <c r="A151" t="s">
        <v>267</v>
      </c>
      <c r="B151" t="s">
        <v>274</v>
      </c>
      <c r="C151" t="s">
        <v>379</v>
      </c>
      <c r="D151" t="s">
        <v>380</v>
      </c>
      <c r="I151">
        <f t="shared" si="8"/>
        <v>0</v>
      </c>
      <c r="J151">
        <f t="shared" si="9"/>
        <v>0</v>
      </c>
    </row>
    <row r="152" spans="1:10" x14ac:dyDescent="0.2">
      <c r="A152" t="s">
        <v>267</v>
      </c>
      <c r="B152" t="s">
        <v>289</v>
      </c>
      <c r="C152" t="s">
        <v>72</v>
      </c>
      <c r="D152" t="s">
        <v>290</v>
      </c>
      <c r="I152">
        <f t="shared" si="8"/>
        <v>0</v>
      </c>
      <c r="J152">
        <f t="shared" si="9"/>
        <v>0</v>
      </c>
    </row>
    <row r="153" spans="1:10" x14ac:dyDescent="0.2">
      <c r="A153" t="s">
        <v>267</v>
      </c>
      <c r="B153" t="s">
        <v>289</v>
      </c>
      <c r="C153" t="s">
        <v>72</v>
      </c>
      <c r="D153" t="s">
        <v>291</v>
      </c>
      <c r="I153">
        <f t="shared" si="8"/>
        <v>0</v>
      </c>
      <c r="J153">
        <f t="shared" si="9"/>
        <v>0</v>
      </c>
    </row>
    <row r="154" spans="1:10" x14ac:dyDescent="0.2">
      <c r="A154" t="s">
        <v>267</v>
      </c>
      <c r="B154" t="s">
        <v>289</v>
      </c>
      <c r="C154" t="s">
        <v>72</v>
      </c>
      <c r="D154" t="s">
        <v>346</v>
      </c>
      <c r="F154">
        <v>0.1</v>
      </c>
      <c r="I154">
        <f t="shared" si="8"/>
        <v>0</v>
      </c>
      <c r="J154">
        <f t="shared" si="9"/>
        <v>0.1</v>
      </c>
    </row>
    <row r="155" spans="1:10" x14ac:dyDescent="0.2">
      <c r="A155" t="s">
        <v>267</v>
      </c>
      <c r="B155" t="s">
        <v>289</v>
      </c>
      <c r="C155" t="s">
        <v>72</v>
      </c>
      <c r="D155" t="s">
        <v>355</v>
      </c>
      <c r="I155">
        <f t="shared" ref="I155:I186" si="10">SUM(E155,G155)</f>
        <v>0</v>
      </c>
      <c r="J155">
        <f t="shared" ref="J155:J186" si="11">SUM(F155,H155)</f>
        <v>0</v>
      </c>
    </row>
    <row r="156" spans="1:10" x14ac:dyDescent="0.2">
      <c r="A156" t="s">
        <v>267</v>
      </c>
      <c r="B156" t="s">
        <v>289</v>
      </c>
      <c r="C156" t="s">
        <v>72</v>
      </c>
      <c r="D156" t="s">
        <v>364</v>
      </c>
      <c r="I156">
        <f t="shared" si="10"/>
        <v>0</v>
      </c>
      <c r="J156">
        <f t="shared" si="11"/>
        <v>0</v>
      </c>
    </row>
    <row r="157" spans="1:10" x14ac:dyDescent="0.2">
      <c r="A157" t="s">
        <v>267</v>
      </c>
      <c r="B157" t="s">
        <v>289</v>
      </c>
      <c r="C157" t="s">
        <v>72</v>
      </c>
      <c r="D157" t="s">
        <v>399</v>
      </c>
      <c r="I157">
        <f t="shared" si="10"/>
        <v>0</v>
      </c>
      <c r="J157">
        <f t="shared" si="11"/>
        <v>0</v>
      </c>
    </row>
    <row r="158" spans="1:10" x14ac:dyDescent="0.2">
      <c r="A158" t="s">
        <v>267</v>
      </c>
      <c r="B158" t="s">
        <v>289</v>
      </c>
      <c r="C158" t="s">
        <v>53</v>
      </c>
      <c r="D158" t="s">
        <v>418</v>
      </c>
      <c r="I158">
        <f t="shared" si="10"/>
        <v>0</v>
      </c>
      <c r="J158">
        <f t="shared" si="11"/>
        <v>0</v>
      </c>
    </row>
    <row r="159" spans="1:10" x14ac:dyDescent="0.2">
      <c r="A159" t="s">
        <v>267</v>
      </c>
      <c r="B159" t="s">
        <v>317</v>
      </c>
      <c r="C159" t="s">
        <v>53</v>
      </c>
      <c r="D159" t="s">
        <v>318</v>
      </c>
      <c r="I159">
        <f t="shared" si="10"/>
        <v>0</v>
      </c>
      <c r="J159">
        <f t="shared" si="11"/>
        <v>0</v>
      </c>
    </row>
    <row r="160" spans="1:10" x14ac:dyDescent="0.2">
      <c r="A160" t="s">
        <v>267</v>
      </c>
      <c r="B160" t="s">
        <v>317</v>
      </c>
      <c r="C160" t="s">
        <v>72</v>
      </c>
      <c r="D160" t="s">
        <v>319</v>
      </c>
      <c r="I160">
        <f t="shared" si="10"/>
        <v>0</v>
      </c>
      <c r="J160">
        <f t="shared" si="11"/>
        <v>0</v>
      </c>
    </row>
    <row r="161" spans="1:10" x14ac:dyDescent="0.2">
      <c r="A161" t="s">
        <v>267</v>
      </c>
      <c r="B161" t="s">
        <v>317</v>
      </c>
      <c r="C161" t="s">
        <v>72</v>
      </c>
      <c r="D161" t="s">
        <v>343</v>
      </c>
      <c r="I161">
        <f t="shared" si="10"/>
        <v>0</v>
      </c>
      <c r="J161">
        <f t="shared" si="11"/>
        <v>0</v>
      </c>
    </row>
    <row r="162" spans="1:10" x14ac:dyDescent="0.2">
      <c r="A162" t="s">
        <v>267</v>
      </c>
      <c r="B162" t="s">
        <v>317</v>
      </c>
      <c r="C162" t="s">
        <v>72</v>
      </c>
      <c r="D162" t="s">
        <v>344</v>
      </c>
      <c r="F162">
        <v>0.5</v>
      </c>
      <c r="I162">
        <f t="shared" si="10"/>
        <v>0</v>
      </c>
      <c r="J162">
        <f t="shared" si="11"/>
        <v>0.5</v>
      </c>
    </row>
    <row r="163" spans="1:10" x14ac:dyDescent="0.2">
      <c r="A163" t="s">
        <v>267</v>
      </c>
      <c r="B163" t="s">
        <v>317</v>
      </c>
      <c r="C163" t="s">
        <v>72</v>
      </c>
      <c r="D163" t="s">
        <v>350</v>
      </c>
      <c r="I163">
        <f t="shared" si="10"/>
        <v>0</v>
      </c>
      <c r="J163">
        <f t="shared" si="11"/>
        <v>0</v>
      </c>
    </row>
    <row r="164" spans="1:10" x14ac:dyDescent="0.2">
      <c r="A164" t="s">
        <v>267</v>
      </c>
      <c r="B164" t="s">
        <v>317</v>
      </c>
      <c r="C164" t="s">
        <v>72</v>
      </c>
      <c r="D164" t="s">
        <v>371</v>
      </c>
      <c r="I164">
        <f t="shared" si="10"/>
        <v>0</v>
      </c>
      <c r="J164">
        <f t="shared" si="11"/>
        <v>0</v>
      </c>
    </row>
    <row r="165" spans="1:10" x14ac:dyDescent="0.2">
      <c r="A165" t="s">
        <v>267</v>
      </c>
      <c r="B165" t="s">
        <v>317</v>
      </c>
      <c r="C165" t="s">
        <v>72</v>
      </c>
      <c r="D165" t="s">
        <v>392</v>
      </c>
      <c r="I165">
        <f t="shared" si="10"/>
        <v>0</v>
      </c>
      <c r="J165">
        <f t="shared" si="11"/>
        <v>0</v>
      </c>
    </row>
    <row r="166" spans="1:10" x14ac:dyDescent="0.2">
      <c r="A166" t="s">
        <v>267</v>
      </c>
      <c r="B166" t="s">
        <v>358</v>
      </c>
      <c r="C166" t="s">
        <v>359</v>
      </c>
      <c r="D166" t="s">
        <v>360</v>
      </c>
      <c r="I166">
        <f t="shared" si="10"/>
        <v>0</v>
      </c>
      <c r="J166">
        <f t="shared" si="11"/>
        <v>0</v>
      </c>
    </row>
    <row r="167" spans="1:10" x14ac:dyDescent="0.2">
      <c r="A167" t="s">
        <v>267</v>
      </c>
      <c r="B167" t="s">
        <v>283</v>
      </c>
      <c r="C167" t="s">
        <v>72</v>
      </c>
      <c r="D167" t="s">
        <v>284</v>
      </c>
      <c r="I167">
        <f t="shared" si="10"/>
        <v>0</v>
      </c>
      <c r="J167">
        <f t="shared" si="11"/>
        <v>0</v>
      </c>
    </row>
    <row r="168" spans="1:10" x14ac:dyDescent="0.2">
      <c r="A168" t="s">
        <v>267</v>
      </c>
      <c r="B168" t="s">
        <v>283</v>
      </c>
      <c r="C168" t="s">
        <v>72</v>
      </c>
      <c r="D168" t="s">
        <v>285</v>
      </c>
      <c r="F168">
        <v>0.8</v>
      </c>
      <c r="H168">
        <v>4</v>
      </c>
      <c r="I168">
        <f t="shared" si="10"/>
        <v>0</v>
      </c>
      <c r="J168">
        <f t="shared" si="11"/>
        <v>4.8</v>
      </c>
    </row>
    <row r="169" spans="1:10" x14ac:dyDescent="0.2">
      <c r="A169" t="s">
        <v>267</v>
      </c>
      <c r="B169" t="s">
        <v>283</v>
      </c>
      <c r="C169" t="s">
        <v>72</v>
      </c>
      <c r="D169" t="s">
        <v>288</v>
      </c>
      <c r="I169">
        <f t="shared" si="10"/>
        <v>0</v>
      </c>
      <c r="J169">
        <f t="shared" si="11"/>
        <v>0</v>
      </c>
    </row>
    <row r="170" spans="1:10" x14ac:dyDescent="0.2">
      <c r="A170" t="s">
        <v>267</v>
      </c>
      <c r="B170" t="s">
        <v>283</v>
      </c>
      <c r="C170" t="s">
        <v>72</v>
      </c>
      <c r="D170" t="s">
        <v>310</v>
      </c>
      <c r="I170">
        <f t="shared" si="10"/>
        <v>0</v>
      </c>
      <c r="J170">
        <f t="shared" si="11"/>
        <v>0</v>
      </c>
    </row>
    <row r="171" spans="1:10" x14ac:dyDescent="0.2">
      <c r="A171" t="s">
        <v>267</v>
      </c>
      <c r="B171" t="s">
        <v>283</v>
      </c>
      <c r="C171" t="s">
        <v>72</v>
      </c>
      <c r="D171" t="s">
        <v>341</v>
      </c>
      <c r="I171">
        <f t="shared" si="10"/>
        <v>0</v>
      </c>
      <c r="J171">
        <f t="shared" si="11"/>
        <v>0</v>
      </c>
    </row>
    <row r="172" spans="1:10" x14ac:dyDescent="0.2">
      <c r="A172" t="s">
        <v>267</v>
      </c>
      <c r="B172" t="s">
        <v>283</v>
      </c>
      <c r="C172" t="s">
        <v>53</v>
      </c>
      <c r="D172" t="s">
        <v>342</v>
      </c>
      <c r="I172">
        <f t="shared" si="10"/>
        <v>0</v>
      </c>
      <c r="J172">
        <f t="shared" si="11"/>
        <v>0</v>
      </c>
    </row>
    <row r="173" spans="1:10" x14ac:dyDescent="0.2">
      <c r="A173" t="s">
        <v>267</v>
      </c>
      <c r="B173" t="s">
        <v>283</v>
      </c>
      <c r="C173" t="s">
        <v>72</v>
      </c>
      <c r="D173" t="s">
        <v>365</v>
      </c>
      <c r="I173">
        <f t="shared" si="10"/>
        <v>0</v>
      </c>
      <c r="J173">
        <f t="shared" si="11"/>
        <v>0</v>
      </c>
    </row>
    <row r="174" spans="1:10" x14ac:dyDescent="0.2">
      <c r="A174" t="s">
        <v>267</v>
      </c>
      <c r="B174" t="s">
        <v>283</v>
      </c>
      <c r="C174" t="s">
        <v>72</v>
      </c>
      <c r="D174" t="s">
        <v>366</v>
      </c>
      <c r="I174">
        <f t="shared" si="10"/>
        <v>0</v>
      </c>
      <c r="J174">
        <f t="shared" si="11"/>
        <v>0</v>
      </c>
    </row>
    <row r="175" spans="1:10" x14ac:dyDescent="0.2">
      <c r="A175" t="s">
        <v>267</v>
      </c>
      <c r="B175" t="s">
        <v>283</v>
      </c>
      <c r="C175" t="s">
        <v>72</v>
      </c>
      <c r="D175" t="s">
        <v>367</v>
      </c>
      <c r="I175">
        <f t="shared" si="10"/>
        <v>0</v>
      </c>
      <c r="J175">
        <f t="shared" si="11"/>
        <v>0</v>
      </c>
    </row>
    <row r="176" spans="1:10" x14ac:dyDescent="0.2">
      <c r="A176" t="s">
        <v>267</v>
      </c>
      <c r="B176" t="s">
        <v>283</v>
      </c>
      <c r="C176" t="s">
        <v>72</v>
      </c>
      <c r="D176" t="s">
        <v>368</v>
      </c>
      <c r="I176">
        <f t="shared" si="10"/>
        <v>0</v>
      </c>
      <c r="J176">
        <f t="shared" si="11"/>
        <v>0</v>
      </c>
    </row>
    <row r="177" spans="1:10" x14ac:dyDescent="0.2">
      <c r="A177" t="s">
        <v>267</v>
      </c>
      <c r="B177" t="s">
        <v>283</v>
      </c>
      <c r="C177" t="s">
        <v>53</v>
      </c>
      <c r="D177" t="s">
        <v>372</v>
      </c>
      <c r="I177">
        <f t="shared" si="10"/>
        <v>0</v>
      </c>
      <c r="J177">
        <f t="shared" si="11"/>
        <v>0</v>
      </c>
    </row>
    <row r="178" spans="1:10" x14ac:dyDescent="0.2">
      <c r="A178" t="s">
        <v>267</v>
      </c>
      <c r="B178" t="s">
        <v>283</v>
      </c>
      <c r="C178" t="s">
        <v>72</v>
      </c>
      <c r="D178" t="s">
        <v>375</v>
      </c>
      <c r="I178">
        <f t="shared" si="10"/>
        <v>0</v>
      </c>
      <c r="J178">
        <f t="shared" si="11"/>
        <v>0</v>
      </c>
    </row>
    <row r="179" spans="1:10" x14ac:dyDescent="0.2">
      <c r="A179" t="s">
        <v>267</v>
      </c>
      <c r="B179" t="s">
        <v>283</v>
      </c>
      <c r="C179" t="s">
        <v>376</v>
      </c>
      <c r="D179" t="s">
        <v>377</v>
      </c>
      <c r="I179">
        <f t="shared" si="10"/>
        <v>0</v>
      </c>
      <c r="J179">
        <f t="shared" si="11"/>
        <v>0</v>
      </c>
    </row>
    <row r="180" spans="1:10" x14ac:dyDescent="0.2">
      <c r="A180" t="s">
        <v>267</v>
      </c>
      <c r="B180" t="s">
        <v>283</v>
      </c>
      <c r="C180" t="s">
        <v>72</v>
      </c>
      <c r="D180" t="s">
        <v>382</v>
      </c>
      <c r="I180">
        <f t="shared" si="10"/>
        <v>0</v>
      </c>
      <c r="J180">
        <f t="shared" si="11"/>
        <v>0</v>
      </c>
    </row>
    <row r="181" spans="1:10" x14ac:dyDescent="0.2">
      <c r="A181" t="s">
        <v>267</v>
      </c>
      <c r="B181" t="s">
        <v>283</v>
      </c>
      <c r="C181" t="s">
        <v>53</v>
      </c>
      <c r="D181" t="s">
        <v>390</v>
      </c>
      <c r="I181">
        <f t="shared" si="10"/>
        <v>0</v>
      </c>
      <c r="J181">
        <f t="shared" si="11"/>
        <v>0</v>
      </c>
    </row>
    <row r="182" spans="1:10" x14ac:dyDescent="0.2">
      <c r="A182" t="s">
        <v>267</v>
      </c>
      <c r="B182" t="s">
        <v>283</v>
      </c>
      <c r="C182" t="s">
        <v>293</v>
      </c>
      <c r="D182" t="s">
        <v>391</v>
      </c>
      <c r="I182">
        <f t="shared" si="10"/>
        <v>0</v>
      </c>
      <c r="J182">
        <f t="shared" si="11"/>
        <v>0</v>
      </c>
    </row>
    <row r="183" spans="1:10" x14ac:dyDescent="0.2">
      <c r="A183" t="s">
        <v>267</v>
      </c>
      <c r="B183" t="s">
        <v>283</v>
      </c>
      <c r="C183" t="s">
        <v>72</v>
      </c>
      <c r="D183" t="s">
        <v>396</v>
      </c>
      <c r="I183">
        <f t="shared" si="10"/>
        <v>0</v>
      </c>
      <c r="J183">
        <f t="shared" si="11"/>
        <v>0</v>
      </c>
    </row>
    <row r="184" spans="1:10" x14ac:dyDescent="0.2">
      <c r="A184" t="s">
        <v>267</v>
      </c>
      <c r="B184" t="s">
        <v>283</v>
      </c>
      <c r="C184" t="s">
        <v>72</v>
      </c>
      <c r="D184" t="s">
        <v>400</v>
      </c>
      <c r="I184">
        <f t="shared" si="10"/>
        <v>0</v>
      </c>
      <c r="J184">
        <f t="shared" si="11"/>
        <v>0</v>
      </c>
    </row>
    <row r="185" spans="1:10" x14ac:dyDescent="0.2">
      <c r="A185" t="s">
        <v>267</v>
      </c>
      <c r="B185" t="s">
        <v>283</v>
      </c>
      <c r="C185" t="s">
        <v>72</v>
      </c>
      <c r="D185" t="s">
        <v>402</v>
      </c>
      <c r="I185">
        <f t="shared" si="10"/>
        <v>0</v>
      </c>
      <c r="J185">
        <f t="shared" si="11"/>
        <v>0</v>
      </c>
    </row>
    <row r="186" spans="1:10" x14ac:dyDescent="0.2">
      <c r="A186" t="s">
        <v>267</v>
      </c>
      <c r="B186" t="s">
        <v>283</v>
      </c>
      <c r="C186" t="s">
        <v>72</v>
      </c>
      <c r="D186" t="s">
        <v>403</v>
      </c>
      <c r="I186">
        <f t="shared" si="10"/>
        <v>0</v>
      </c>
      <c r="J186">
        <f t="shared" si="11"/>
        <v>0</v>
      </c>
    </row>
    <row r="187" spans="1:10" x14ac:dyDescent="0.2">
      <c r="A187" t="s">
        <v>267</v>
      </c>
      <c r="B187" t="s">
        <v>283</v>
      </c>
      <c r="C187" t="s">
        <v>72</v>
      </c>
      <c r="D187" t="s">
        <v>407</v>
      </c>
      <c r="F187">
        <v>0.4</v>
      </c>
      <c r="I187">
        <f t="shared" ref="I187:I193" si="12">SUM(E187,G187)</f>
        <v>0</v>
      </c>
      <c r="J187">
        <f t="shared" ref="J187:J193" si="13">SUM(F187,H187)</f>
        <v>0.4</v>
      </c>
    </row>
    <row r="188" spans="1:10" x14ac:dyDescent="0.2">
      <c r="A188" t="s">
        <v>267</v>
      </c>
      <c r="B188" t="s">
        <v>283</v>
      </c>
      <c r="C188" t="s">
        <v>53</v>
      </c>
      <c r="D188" t="s">
        <v>408</v>
      </c>
      <c r="I188">
        <f t="shared" si="12"/>
        <v>0</v>
      </c>
      <c r="J188">
        <f t="shared" si="13"/>
        <v>0</v>
      </c>
    </row>
    <row r="189" spans="1:10" x14ac:dyDescent="0.2">
      <c r="A189" t="s">
        <v>267</v>
      </c>
      <c r="B189" t="s">
        <v>283</v>
      </c>
      <c r="C189" t="s">
        <v>53</v>
      </c>
      <c r="D189" t="s">
        <v>409</v>
      </c>
      <c r="I189">
        <f t="shared" si="12"/>
        <v>0</v>
      </c>
      <c r="J189">
        <f t="shared" si="13"/>
        <v>0</v>
      </c>
    </row>
    <row r="190" spans="1:10" x14ac:dyDescent="0.2">
      <c r="A190" t="s">
        <v>267</v>
      </c>
      <c r="B190" t="s">
        <v>283</v>
      </c>
      <c r="C190" t="s">
        <v>369</v>
      </c>
      <c r="D190" t="s">
        <v>410</v>
      </c>
      <c r="I190">
        <f t="shared" si="12"/>
        <v>0</v>
      </c>
      <c r="J190">
        <f t="shared" si="13"/>
        <v>0</v>
      </c>
    </row>
    <row r="191" spans="1:10" x14ac:dyDescent="0.2">
      <c r="A191" t="s">
        <v>267</v>
      </c>
      <c r="B191" t="s">
        <v>283</v>
      </c>
      <c r="C191" t="s">
        <v>67</v>
      </c>
      <c r="D191" t="s">
        <v>411</v>
      </c>
      <c r="I191">
        <f t="shared" si="12"/>
        <v>0</v>
      </c>
      <c r="J191">
        <f t="shared" si="13"/>
        <v>0</v>
      </c>
    </row>
    <row r="192" spans="1:10" x14ac:dyDescent="0.2">
      <c r="A192" t="s">
        <v>267</v>
      </c>
      <c r="B192" t="s">
        <v>283</v>
      </c>
      <c r="C192" t="s">
        <v>299</v>
      </c>
      <c r="D192" t="s">
        <v>412</v>
      </c>
      <c r="I192">
        <f t="shared" si="12"/>
        <v>0</v>
      </c>
      <c r="J192">
        <f t="shared" si="13"/>
        <v>0</v>
      </c>
    </row>
    <row r="193" spans="1:10" x14ac:dyDescent="0.2">
      <c r="A193" t="s">
        <v>267</v>
      </c>
      <c r="B193" t="s">
        <v>283</v>
      </c>
      <c r="C193" t="s">
        <v>72</v>
      </c>
      <c r="D193" t="s">
        <v>417</v>
      </c>
      <c r="I193">
        <f t="shared" si="12"/>
        <v>0</v>
      </c>
      <c r="J193">
        <f t="shared" si="13"/>
        <v>0</v>
      </c>
    </row>
    <row r="194" spans="1:10" x14ac:dyDescent="0.2">
      <c r="B194" t="s">
        <v>348</v>
      </c>
      <c r="C194" t="s">
        <v>293</v>
      </c>
      <c r="D194" t="s">
        <v>294</v>
      </c>
    </row>
    <row r="195" spans="1:10" x14ac:dyDescent="0.2">
      <c r="A195" t="s">
        <v>267</v>
      </c>
      <c r="B195" t="s">
        <v>348</v>
      </c>
      <c r="C195" t="s">
        <v>293</v>
      </c>
      <c r="D195" t="s">
        <v>349</v>
      </c>
      <c r="I195">
        <f t="shared" ref="I195:I226" si="14">SUM(E195,G195)</f>
        <v>0</v>
      </c>
      <c r="J195">
        <f t="shared" ref="J195:J226" si="15">SUM(F195,H195)</f>
        <v>0</v>
      </c>
    </row>
    <row r="196" spans="1:10" x14ac:dyDescent="0.2">
      <c r="A196" t="s">
        <v>267</v>
      </c>
      <c r="B196" t="s">
        <v>177</v>
      </c>
      <c r="C196" t="s">
        <v>72</v>
      </c>
      <c r="D196" t="s">
        <v>273</v>
      </c>
      <c r="I196">
        <f t="shared" si="14"/>
        <v>0</v>
      </c>
      <c r="J196">
        <f t="shared" si="15"/>
        <v>0</v>
      </c>
    </row>
    <row r="197" spans="1:10" x14ac:dyDescent="0.2">
      <c r="A197" t="s">
        <v>267</v>
      </c>
      <c r="B197" t="s">
        <v>177</v>
      </c>
      <c r="C197" t="s">
        <v>53</v>
      </c>
      <c r="D197" t="s">
        <v>277</v>
      </c>
      <c r="F197">
        <v>1.4</v>
      </c>
      <c r="I197">
        <f t="shared" si="14"/>
        <v>0</v>
      </c>
      <c r="J197">
        <f t="shared" si="15"/>
        <v>1.4</v>
      </c>
    </row>
    <row r="198" spans="1:10" x14ac:dyDescent="0.2">
      <c r="A198" t="s">
        <v>267</v>
      </c>
      <c r="B198" t="s">
        <v>177</v>
      </c>
      <c r="C198" t="s">
        <v>72</v>
      </c>
      <c r="D198" t="s">
        <v>280</v>
      </c>
      <c r="I198">
        <f t="shared" si="14"/>
        <v>0</v>
      </c>
      <c r="J198">
        <f t="shared" si="15"/>
        <v>0</v>
      </c>
    </row>
    <row r="199" spans="1:10" x14ac:dyDescent="0.2">
      <c r="A199" t="s">
        <v>267</v>
      </c>
      <c r="B199" t="s">
        <v>177</v>
      </c>
      <c r="C199" t="s">
        <v>72</v>
      </c>
      <c r="D199" t="s">
        <v>286</v>
      </c>
      <c r="I199">
        <f t="shared" si="14"/>
        <v>0</v>
      </c>
      <c r="J199">
        <f t="shared" si="15"/>
        <v>0</v>
      </c>
    </row>
    <row r="200" spans="1:10" x14ac:dyDescent="0.2">
      <c r="A200" t="s">
        <v>267</v>
      </c>
      <c r="B200" t="s">
        <v>177</v>
      </c>
      <c r="C200" t="s">
        <v>53</v>
      </c>
      <c r="D200" t="s">
        <v>295</v>
      </c>
      <c r="F200">
        <v>0.5</v>
      </c>
      <c r="I200">
        <f t="shared" si="14"/>
        <v>0</v>
      </c>
      <c r="J200">
        <f t="shared" si="15"/>
        <v>0.5</v>
      </c>
    </row>
    <row r="201" spans="1:10" x14ac:dyDescent="0.2">
      <c r="A201" t="s">
        <v>267</v>
      </c>
      <c r="B201" t="s">
        <v>177</v>
      </c>
      <c r="C201" t="s">
        <v>303</v>
      </c>
      <c r="D201" t="s">
        <v>304</v>
      </c>
      <c r="I201">
        <f t="shared" si="14"/>
        <v>0</v>
      </c>
      <c r="J201">
        <f t="shared" si="15"/>
        <v>0</v>
      </c>
    </row>
    <row r="202" spans="1:10" x14ac:dyDescent="0.2">
      <c r="A202" t="s">
        <v>267</v>
      </c>
      <c r="B202" t="s">
        <v>177</v>
      </c>
      <c r="C202" t="s">
        <v>72</v>
      </c>
      <c r="D202" t="s">
        <v>305</v>
      </c>
      <c r="I202">
        <f t="shared" si="14"/>
        <v>0</v>
      </c>
      <c r="J202">
        <f t="shared" si="15"/>
        <v>0</v>
      </c>
    </row>
    <row r="203" spans="1:10" x14ac:dyDescent="0.2">
      <c r="A203" t="s">
        <v>267</v>
      </c>
      <c r="B203" t="s">
        <v>177</v>
      </c>
      <c r="C203" t="s">
        <v>72</v>
      </c>
      <c r="D203" t="s">
        <v>309</v>
      </c>
      <c r="I203">
        <f t="shared" si="14"/>
        <v>0</v>
      </c>
      <c r="J203">
        <f t="shared" si="15"/>
        <v>0</v>
      </c>
    </row>
    <row r="204" spans="1:10" x14ac:dyDescent="0.2">
      <c r="A204" t="s">
        <v>267</v>
      </c>
      <c r="B204" t="s">
        <v>177</v>
      </c>
      <c r="C204" t="s">
        <v>53</v>
      </c>
      <c r="D204" t="s">
        <v>316</v>
      </c>
      <c r="I204">
        <f t="shared" si="14"/>
        <v>0</v>
      </c>
      <c r="J204">
        <f t="shared" si="15"/>
        <v>0</v>
      </c>
    </row>
    <row r="205" spans="1:10" x14ac:dyDescent="0.2">
      <c r="A205" t="s">
        <v>267</v>
      </c>
      <c r="B205" t="s">
        <v>177</v>
      </c>
      <c r="C205" t="s">
        <v>271</v>
      </c>
      <c r="D205" t="s">
        <v>324</v>
      </c>
      <c r="I205">
        <f t="shared" si="14"/>
        <v>0</v>
      </c>
      <c r="J205">
        <f t="shared" si="15"/>
        <v>0</v>
      </c>
    </row>
    <row r="206" spans="1:10" x14ac:dyDescent="0.2">
      <c r="A206" t="s">
        <v>267</v>
      </c>
      <c r="B206" t="s">
        <v>177</v>
      </c>
      <c r="C206" t="s">
        <v>271</v>
      </c>
      <c r="D206" t="s">
        <v>325</v>
      </c>
      <c r="I206">
        <f t="shared" si="14"/>
        <v>0</v>
      </c>
      <c r="J206">
        <f t="shared" si="15"/>
        <v>0</v>
      </c>
    </row>
    <row r="207" spans="1:10" x14ac:dyDescent="0.2">
      <c r="A207" t="s">
        <v>267</v>
      </c>
      <c r="B207" t="s">
        <v>177</v>
      </c>
      <c r="C207" t="s">
        <v>53</v>
      </c>
      <c r="D207" t="s">
        <v>326</v>
      </c>
      <c r="I207">
        <f t="shared" si="14"/>
        <v>0</v>
      </c>
      <c r="J207">
        <f t="shared" si="15"/>
        <v>0</v>
      </c>
    </row>
    <row r="208" spans="1:10" x14ac:dyDescent="0.2">
      <c r="A208" t="s">
        <v>267</v>
      </c>
      <c r="B208" t="s">
        <v>177</v>
      </c>
      <c r="C208" t="s">
        <v>53</v>
      </c>
      <c r="D208" t="s">
        <v>333</v>
      </c>
      <c r="I208">
        <f t="shared" si="14"/>
        <v>0</v>
      </c>
      <c r="J208">
        <f t="shared" si="15"/>
        <v>0</v>
      </c>
    </row>
    <row r="209" spans="1:10" x14ac:dyDescent="0.2">
      <c r="A209" t="s">
        <v>267</v>
      </c>
      <c r="B209" t="s">
        <v>177</v>
      </c>
      <c r="C209" t="s">
        <v>53</v>
      </c>
      <c r="D209" t="s">
        <v>345</v>
      </c>
      <c r="I209">
        <f t="shared" si="14"/>
        <v>0</v>
      </c>
      <c r="J209">
        <f t="shared" si="15"/>
        <v>0</v>
      </c>
    </row>
    <row r="210" spans="1:10" x14ac:dyDescent="0.2">
      <c r="A210" t="s">
        <v>267</v>
      </c>
      <c r="B210" t="s">
        <v>177</v>
      </c>
      <c r="C210" t="s">
        <v>72</v>
      </c>
      <c r="D210" t="s">
        <v>347</v>
      </c>
      <c r="I210">
        <f t="shared" si="14"/>
        <v>0</v>
      </c>
      <c r="J210">
        <f t="shared" si="15"/>
        <v>0</v>
      </c>
    </row>
    <row r="211" spans="1:10" x14ac:dyDescent="0.2">
      <c r="A211" t="s">
        <v>267</v>
      </c>
      <c r="B211" t="s">
        <v>177</v>
      </c>
      <c r="C211" t="s">
        <v>72</v>
      </c>
      <c r="D211" t="s">
        <v>354</v>
      </c>
      <c r="I211">
        <f t="shared" si="14"/>
        <v>0</v>
      </c>
      <c r="J211">
        <f t="shared" si="15"/>
        <v>0</v>
      </c>
    </row>
    <row r="212" spans="1:10" x14ac:dyDescent="0.2">
      <c r="A212" t="s">
        <v>267</v>
      </c>
      <c r="B212" t="s">
        <v>177</v>
      </c>
      <c r="C212" t="s">
        <v>271</v>
      </c>
      <c r="D212" t="s">
        <v>363</v>
      </c>
      <c r="I212">
        <f t="shared" si="14"/>
        <v>0</v>
      </c>
      <c r="J212">
        <f t="shared" si="15"/>
        <v>0</v>
      </c>
    </row>
    <row r="213" spans="1:10" x14ac:dyDescent="0.2">
      <c r="A213" t="s">
        <v>267</v>
      </c>
      <c r="B213" t="s">
        <v>177</v>
      </c>
      <c r="C213" t="s">
        <v>369</v>
      </c>
      <c r="D213" t="s">
        <v>370</v>
      </c>
      <c r="I213">
        <f t="shared" si="14"/>
        <v>0</v>
      </c>
      <c r="J213">
        <f t="shared" si="15"/>
        <v>0</v>
      </c>
    </row>
    <row r="214" spans="1:10" x14ac:dyDescent="0.2">
      <c r="A214" t="s">
        <v>267</v>
      </c>
      <c r="B214" t="s">
        <v>177</v>
      </c>
      <c r="C214" t="s">
        <v>72</v>
      </c>
      <c r="D214" t="s">
        <v>381</v>
      </c>
      <c r="I214">
        <f t="shared" si="14"/>
        <v>0</v>
      </c>
      <c r="J214">
        <f t="shared" si="15"/>
        <v>0</v>
      </c>
    </row>
    <row r="215" spans="1:10" x14ac:dyDescent="0.2">
      <c r="A215" t="s">
        <v>267</v>
      </c>
      <c r="B215" t="s">
        <v>177</v>
      </c>
      <c r="C215" t="s">
        <v>72</v>
      </c>
      <c r="D215" t="s">
        <v>385</v>
      </c>
      <c r="I215">
        <f t="shared" si="14"/>
        <v>0</v>
      </c>
      <c r="J215">
        <f t="shared" si="15"/>
        <v>0</v>
      </c>
    </row>
    <row r="216" spans="1:10" x14ac:dyDescent="0.2">
      <c r="A216" t="s">
        <v>267</v>
      </c>
      <c r="B216" t="s">
        <v>177</v>
      </c>
      <c r="C216" t="s">
        <v>53</v>
      </c>
      <c r="D216" t="s">
        <v>389</v>
      </c>
      <c r="H216">
        <v>4</v>
      </c>
      <c r="I216">
        <f t="shared" si="14"/>
        <v>0</v>
      </c>
      <c r="J216">
        <f t="shared" si="15"/>
        <v>4</v>
      </c>
    </row>
    <row r="217" spans="1:10" x14ac:dyDescent="0.2">
      <c r="A217" t="s">
        <v>267</v>
      </c>
      <c r="B217" t="s">
        <v>177</v>
      </c>
      <c r="C217" t="s">
        <v>72</v>
      </c>
      <c r="D217" t="s">
        <v>397</v>
      </c>
      <c r="I217">
        <f t="shared" si="14"/>
        <v>0</v>
      </c>
      <c r="J217">
        <f t="shared" si="15"/>
        <v>0</v>
      </c>
    </row>
    <row r="218" spans="1:10" x14ac:dyDescent="0.2">
      <c r="A218" t="s">
        <v>267</v>
      </c>
      <c r="B218" t="s">
        <v>177</v>
      </c>
      <c r="C218" t="s">
        <v>53</v>
      </c>
      <c r="D218" t="s">
        <v>405</v>
      </c>
      <c r="I218">
        <f t="shared" si="14"/>
        <v>0</v>
      </c>
      <c r="J218">
        <f t="shared" si="15"/>
        <v>0</v>
      </c>
    </row>
    <row r="219" spans="1:10" x14ac:dyDescent="0.2">
      <c r="A219" t="s">
        <v>267</v>
      </c>
      <c r="B219" t="s">
        <v>373</v>
      </c>
      <c r="C219" t="s">
        <v>359</v>
      </c>
      <c r="D219" t="s">
        <v>374</v>
      </c>
      <c r="I219">
        <f t="shared" si="14"/>
        <v>0</v>
      </c>
      <c r="J219">
        <f t="shared" si="15"/>
        <v>0</v>
      </c>
    </row>
    <row r="220" spans="1:10" x14ac:dyDescent="0.2">
      <c r="A220" t="s">
        <v>267</v>
      </c>
      <c r="B220" t="s">
        <v>373</v>
      </c>
      <c r="C220" t="s">
        <v>359</v>
      </c>
      <c r="D220" t="s">
        <v>393</v>
      </c>
      <c r="I220">
        <f t="shared" si="14"/>
        <v>0</v>
      </c>
      <c r="J220">
        <f t="shared" si="15"/>
        <v>0</v>
      </c>
    </row>
    <row r="221" spans="1:10" x14ac:dyDescent="0.2">
      <c r="A221" t="s">
        <v>267</v>
      </c>
      <c r="B221" t="s">
        <v>296</v>
      </c>
      <c r="C221" t="s">
        <v>53</v>
      </c>
      <c r="D221" t="s">
        <v>297</v>
      </c>
      <c r="I221">
        <f t="shared" si="14"/>
        <v>0</v>
      </c>
      <c r="J221">
        <f t="shared" si="15"/>
        <v>0</v>
      </c>
    </row>
    <row r="222" spans="1:10" x14ac:dyDescent="0.2">
      <c r="A222" t="s">
        <v>267</v>
      </c>
      <c r="B222" t="s">
        <v>296</v>
      </c>
      <c r="C222" t="s">
        <v>72</v>
      </c>
      <c r="D222" t="s">
        <v>323</v>
      </c>
      <c r="I222">
        <f t="shared" si="14"/>
        <v>0</v>
      </c>
      <c r="J222">
        <f t="shared" si="15"/>
        <v>0</v>
      </c>
    </row>
    <row r="223" spans="1:10" x14ac:dyDescent="0.2">
      <c r="A223" t="s">
        <v>267</v>
      </c>
      <c r="B223" t="s">
        <v>296</v>
      </c>
      <c r="C223" t="s">
        <v>331</v>
      </c>
      <c r="D223" t="s">
        <v>332</v>
      </c>
      <c r="I223">
        <f t="shared" si="14"/>
        <v>0</v>
      </c>
      <c r="J223">
        <f t="shared" si="15"/>
        <v>0</v>
      </c>
    </row>
    <row r="224" spans="1:10" x14ac:dyDescent="0.2">
      <c r="A224" t="s">
        <v>267</v>
      </c>
      <c r="B224" t="s">
        <v>296</v>
      </c>
      <c r="C224" t="s">
        <v>72</v>
      </c>
      <c r="D224" t="s">
        <v>338</v>
      </c>
      <c r="F224">
        <v>0.6</v>
      </c>
      <c r="H224">
        <v>2</v>
      </c>
      <c r="I224">
        <f t="shared" si="14"/>
        <v>0</v>
      </c>
      <c r="J224">
        <f t="shared" si="15"/>
        <v>2.6</v>
      </c>
    </row>
    <row r="225" spans="1:10" x14ac:dyDescent="0.2">
      <c r="A225" t="s">
        <v>267</v>
      </c>
      <c r="B225" t="s">
        <v>296</v>
      </c>
      <c r="C225" t="s">
        <v>72</v>
      </c>
      <c r="D225" t="s">
        <v>339</v>
      </c>
      <c r="F225">
        <v>0.7</v>
      </c>
      <c r="H225">
        <v>3</v>
      </c>
      <c r="I225">
        <f t="shared" si="14"/>
        <v>0</v>
      </c>
      <c r="J225">
        <f t="shared" si="15"/>
        <v>3.7</v>
      </c>
    </row>
    <row r="226" spans="1:10" x14ac:dyDescent="0.2">
      <c r="A226" t="s">
        <v>267</v>
      </c>
      <c r="B226" t="s">
        <v>296</v>
      </c>
      <c r="C226" t="s">
        <v>72</v>
      </c>
      <c r="D226" t="s">
        <v>340</v>
      </c>
      <c r="F226">
        <v>0.5</v>
      </c>
      <c r="G226">
        <v>1</v>
      </c>
      <c r="I226">
        <f t="shared" si="14"/>
        <v>1</v>
      </c>
      <c r="J226">
        <f t="shared" si="15"/>
        <v>0.5</v>
      </c>
    </row>
    <row r="227" spans="1:10" x14ac:dyDescent="0.2">
      <c r="A227" t="s">
        <v>267</v>
      </c>
      <c r="B227" t="s">
        <v>296</v>
      </c>
      <c r="C227" t="s">
        <v>72</v>
      </c>
      <c r="D227" t="s">
        <v>356</v>
      </c>
      <c r="I227">
        <f t="shared" ref="I227:I244" si="16">SUM(E227,G227)</f>
        <v>0</v>
      </c>
      <c r="J227">
        <f t="shared" ref="J227:J244" si="17">SUM(F227,H227)</f>
        <v>0</v>
      </c>
    </row>
    <row r="228" spans="1:10" x14ac:dyDescent="0.2">
      <c r="A228" t="s">
        <v>267</v>
      </c>
      <c r="B228" t="s">
        <v>296</v>
      </c>
      <c r="C228" t="s">
        <v>72</v>
      </c>
      <c r="D228" t="s">
        <v>394</v>
      </c>
      <c r="I228">
        <f t="shared" si="16"/>
        <v>0</v>
      </c>
      <c r="J228">
        <f t="shared" si="17"/>
        <v>0</v>
      </c>
    </row>
    <row r="229" spans="1:10" x14ac:dyDescent="0.2">
      <c r="A229" t="s">
        <v>267</v>
      </c>
      <c r="B229" t="s">
        <v>296</v>
      </c>
      <c r="C229" t="s">
        <v>53</v>
      </c>
      <c r="D229" t="s">
        <v>395</v>
      </c>
      <c r="I229">
        <f t="shared" si="16"/>
        <v>0</v>
      </c>
      <c r="J229">
        <f t="shared" si="17"/>
        <v>0</v>
      </c>
    </row>
    <row r="230" spans="1:10" x14ac:dyDescent="0.2">
      <c r="A230" t="s">
        <v>267</v>
      </c>
      <c r="B230" t="s">
        <v>296</v>
      </c>
      <c r="C230" t="s">
        <v>72</v>
      </c>
      <c r="D230" t="s">
        <v>398</v>
      </c>
      <c r="I230">
        <f t="shared" si="16"/>
        <v>0</v>
      </c>
      <c r="J230">
        <f t="shared" si="17"/>
        <v>0</v>
      </c>
    </row>
    <row r="231" spans="1:10" x14ac:dyDescent="0.2">
      <c r="A231" t="s">
        <v>267</v>
      </c>
      <c r="B231" t="s">
        <v>270</v>
      </c>
      <c r="C231" t="s">
        <v>271</v>
      </c>
      <c r="D231" t="s">
        <v>272</v>
      </c>
      <c r="I231">
        <f t="shared" si="16"/>
        <v>0</v>
      </c>
      <c r="J231">
        <f t="shared" si="17"/>
        <v>0</v>
      </c>
    </row>
    <row r="232" spans="1:10" x14ac:dyDescent="0.2">
      <c r="A232" t="s">
        <v>267</v>
      </c>
      <c r="B232" t="s">
        <v>361</v>
      </c>
      <c r="C232" t="s">
        <v>53</v>
      </c>
      <c r="D232" t="s">
        <v>362</v>
      </c>
      <c r="I232">
        <f t="shared" si="16"/>
        <v>0</v>
      </c>
      <c r="J232">
        <f t="shared" si="17"/>
        <v>0</v>
      </c>
    </row>
    <row r="233" spans="1:10" x14ac:dyDescent="0.2">
      <c r="A233" t="s">
        <v>267</v>
      </c>
      <c r="B233" t="s">
        <v>298</v>
      </c>
      <c r="C233" t="s">
        <v>299</v>
      </c>
      <c r="D233" t="s">
        <v>300</v>
      </c>
      <c r="I233">
        <f t="shared" si="16"/>
        <v>0</v>
      </c>
      <c r="J233">
        <f t="shared" si="17"/>
        <v>0</v>
      </c>
    </row>
    <row r="234" spans="1:10" x14ac:dyDescent="0.2">
      <c r="A234" t="s">
        <v>267</v>
      </c>
      <c r="B234" t="s">
        <v>298</v>
      </c>
      <c r="C234" t="s">
        <v>72</v>
      </c>
      <c r="D234" t="s">
        <v>306</v>
      </c>
      <c r="I234">
        <f t="shared" si="16"/>
        <v>0</v>
      </c>
      <c r="J234">
        <f t="shared" si="17"/>
        <v>0</v>
      </c>
    </row>
    <row r="235" spans="1:10" x14ac:dyDescent="0.2">
      <c r="A235" t="s">
        <v>267</v>
      </c>
      <c r="B235" t="s">
        <v>298</v>
      </c>
      <c r="C235" t="s">
        <v>72</v>
      </c>
      <c r="D235" t="s">
        <v>308</v>
      </c>
      <c r="I235">
        <f t="shared" si="16"/>
        <v>0</v>
      </c>
      <c r="J235">
        <f t="shared" si="17"/>
        <v>0</v>
      </c>
    </row>
    <row r="236" spans="1:10" x14ac:dyDescent="0.2">
      <c r="A236" t="s">
        <v>267</v>
      </c>
      <c r="B236" t="s">
        <v>298</v>
      </c>
      <c r="C236" t="s">
        <v>72</v>
      </c>
      <c r="D236" t="s">
        <v>307</v>
      </c>
      <c r="I236">
        <f t="shared" si="16"/>
        <v>0</v>
      </c>
      <c r="J236">
        <f t="shared" si="17"/>
        <v>0</v>
      </c>
    </row>
    <row r="237" spans="1:10" x14ac:dyDescent="0.2">
      <c r="A237" t="s">
        <v>267</v>
      </c>
      <c r="B237" t="s">
        <v>298</v>
      </c>
      <c r="C237" t="s">
        <v>72</v>
      </c>
      <c r="D237" t="s">
        <v>320</v>
      </c>
      <c r="I237">
        <f t="shared" si="16"/>
        <v>0</v>
      </c>
      <c r="J237">
        <f t="shared" si="17"/>
        <v>0</v>
      </c>
    </row>
    <row r="238" spans="1:10" x14ac:dyDescent="0.2">
      <c r="A238" t="s">
        <v>267</v>
      </c>
      <c r="B238" t="s">
        <v>298</v>
      </c>
      <c r="C238" t="s">
        <v>72</v>
      </c>
      <c r="D238" t="s">
        <v>321</v>
      </c>
      <c r="I238">
        <f t="shared" si="16"/>
        <v>0</v>
      </c>
      <c r="J238">
        <f t="shared" si="17"/>
        <v>0</v>
      </c>
    </row>
    <row r="239" spans="1:10" x14ac:dyDescent="0.2">
      <c r="A239" t="s">
        <v>267</v>
      </c>
      <c r="B239" t="s">
        <v>298</v>
      </c>
      <c r="C239" t="s">
        <v>72</v>
      </c>
      <c r="D239" t="s">
        <v>322</v>
      </c>
      <c r="I239">
        <f t="shared" si="16"/>
        <v>0</v>
      </c>
      <c r="J239">
        <f t="shared" si="17"/>
        <v>0</v>
      </c>
    </row>
    <row r="240" spans="1:10" x14ac:dyDescent="0.2">
      <c r="A240" t="s">
        <v>267</v>
      </c>
      <c r="B240" t="s">
        <v>298</v>
      </c>
      <c r="C240" t="s">
        <v>72</v>
      </c>
      <c r="D240" t="s">
        <v>383</v>
      </c>
      <c r="I240">
        <f t="shared" si="16"/>
        <v>0</v>
      </c>
      <c r="J240">
        <f t="shared" si="17"/>
        <v>0</v>
      </c>
    </row>
    <row r="241" spans="1:10" x14ac:dyDescent="0.2">
      <c r="A241" t="s">
        <v>267</v>
      </c>
      <c r="B241" t="s">
        <v>298</v>
      </c>
      <c r="C241" t="s">
        <v>72</v>
      </c>
      <c r="D241" t="s">
        <v>384</v>
      </c>
      <c r="I241">
        <f t="shared" si="16"/>
        <v>0</v>
      </c>
      <c r="J241">
        <f t="shared" si="17"/>
        <v>0</v>
      </c>
    </row>
    <row r="242" spans="1:10" x14ac:dyDescent="0.2">
      <c r="A242" t="s">
        <v>267</v>
      </c>
      <c r="B242" t="s">
        <v>298</v>
      </c>
      <c r="C242" t="s">
        <v>72</v>
      </c>
      <c r="D242" t="s">
        <v>386</v>
      </c>
      <c r="I242">
        <f t="shared" si="16"/>
        <v>0</v>
      </c>
      <c r="J242">
        <f t="shared" si="17"/>
        <v>0</v>
      </c>
    </row>
    <row r="243" spans="1:10" x14ac:dyDescent="0.2">
      <c r="A243" t="s">
        <v>267</v>
      </c>
      <c r="B243" t="s">
        <v>298</v>
      </c>
      <c r="C243" t="s">
        <v>72</v>
      </c>
      <c r="D243" t="s">
        <v>387</v>
      </c>
      <c r="I243">
        <f t="shared" si="16"/>
        <v>0</v>
      </c>
      <c r="J243">
        <f t="shared" si="17"/>
        <v>0</v>
      </c>
    </row>
    <row r="244" spans="1:10" x14ac:dyDescent="0.2">
      <c r="A244" t="s">
        <v>267</v>
      </c>
      <c r="B244" t="s">
        <v>298</v>
      </c>
      <c r="C244" t="s">
        <v>72</v>
      </c>
      <c r="D244" t="s">
        <v>388</v>
      </c>
      <c r="I244">
        <f t="shared" si="16"/>
        <v>0</v>
      </c>
      <c r="J244">
        <f t="shared" si="17"/>
        <v>0</v>
      </c>
    </row>
    <row r="245" spans="1:10" x14ac:dyDescent="0.2">
      <c r="A245" t="s">
        <v>267</v>
      </c>
      <c r="B245" t="s">
        <v>298</v>
      </c>
      <c r="C245" t="s">
        <v>413</v>
      </c>
      <c r="D245" t="s">
        <v>414</v>
      </c>
    </row>
    <row r="246" spans="1:10" x14ac:dyDescent="0.2">
      <c r="A246" t="s">
        <v>267</v>
      </c>
      <c r="B246" t="s">
        <v>298</v>
      </c>
      <c r="C246" t="s">
        <v>72</v>
      </c>
      <c r="D246" t="s">
        <v>416</v>
      </c>
      <c r="I246">
        <f t="shared" ref="I246:I277" si="18">SUM(E246,G246)</f>
        <v>0</v>
      </c>
      <c r="J246">
        <f t="shared" ref="J246:J277" si="19">SUM(F246,H246)</f>
        <v>0</v>
      </c>
    </row>
    <row r="247" spans="1:10" x14ac:dyDescent="0.2">
      <c r="A247" t="s">
        <v>267</v>
      </c>
      <c r="B247" t="s">
        <v>268</v>
      </c>
      <c r="C247" t="s">
        <v>72</v>
      </c>
      <c r="D247" t="s">
        <v>269</v>
      </c>
      <c r="F247">
        <v>0.8</v>
      </c>
      <c r="H247">
        <v>2</v>
      </c>
      <c r="I247">
        <f t="shared" si="18"/>
        <v>0</v>
      </c>
      <c r="J247">
        <f t="shared" si="19"/>
        <v>2.8</v>
      </c>
    </row>
    <row r="248" spans="1:10" x14ac:dyDescent="0.2">
      <c r="A248" t="s">
        <v>267</v>
      </c>
      <c r="B248" t="s">
        <v>268</v>
      </c>
      <c r="C248" t="s">
        <v>72</v>
      </c>
      <c r="D248" t="s">
        <v>281</v>
      </c>
      <c r="I248">
        <f t="shared" si="18"/>
        <v>0</v>
      </c>
      <c r="J248">
        <f t="shared" si="19"/>
        <v>0</v>
      </c>
    </row>
    <row r="249" spans="1:10" x14ac:dyDescent="0.2">
      <c r="A249" t="s">
        <v>267</v>
      </c>
      <c r="B249" t="s">
        <v>268</v>
      </c>
      <c r="C249" t="s">
        <v>72</v>
      </c>
      <c r="D249" t="s">
        <v>287</v>
      </c>
      <c r="I249">
        <f t="shared" si="18"/>
        <v>0</v>
      </c>
      <c r="J249">
        <f t="shared" si="19"/>
        <v>0</v>
      </c>
    </row>
    <row r="250" spans="1:10" x14ac:dyDescent="0.2">
      <c r="A250" t="s">
        <v>267</v>
      </c>
      <c r="B250" t="s">
        <v>268</v>
      </c>
      <c r="C250" t="s">
        <v>72</v>
      </c>
      <c r="D250" t="s">
        <v>313</v>
      </c>
      <c r="F250">
        <v>0.8</v>
      </c>
      <c r="I250">
        <f t="shared" si="18"/>
        <v>0</v>
      </c>
      <c r="J250">
        <f t="shared" si="19"/>
        <v>0.8</v>
      </c>
    </row>
    <row r="251" spans="1:10" x14ac:dyDescent="0.2">
      <c r="A251" t="s">
        <v>267</v>
      </c>
      <c r="B251" t="s">
        <v>268</v>
      </c>
      <c r="C251" t="s">
        <v>72</v>
      </c>
      <c r="D251" t="s">
        <v>419</v>
      </c>
      <c r="I251">
        <f t="shared" si="18"/>
        <v>0</v>
      </c>
      <c r="J251">
        <f t="shared" si="19"/>
        <v>0</v>
      </c>
    </row>
    <row r="252" spans="1:10" x14ac:dyDescent="0.2">
      <c r="A252" t="s">
        <v>267</v>
      </c>
      <c r="B252" t="s">
        <v>268</v>
      </c>
      <c r="C252" t="s">
        <v>72</v>
      </c>
      <c r="D252" t="s">
        <v>315</v>
      </c>
      <c r="F252">
        <v>0.3</v>
      </c>
      <c r="I252">
        <f t="shared" si="18"/>
        <v>0</v>
      </c>
      <c r="J252">
        <f t="shared" si="19"/>
        <v>0.3</v>
      </c>
    </row>
    <row r="253" spans="1:10" x14ac:dyDescent="0.2">
      <c r="A253" t="s">
        <v>267</v>
      </c>
      <c r="B253" t="s">
        <v>268</v>
      </c>
      <c r="C253" t="s">
        <v>72</v>
      </c>
      <c r="D253" t="s">
        <v>334</v>
      </c>
      <c r="I253">
        <f t="shared" si="18"/>
        <v>0</v>
      </c>
      <c r="J253">
        <f t="shared" si="19"/>
        <v>0</v>
      </c>
    </row>
    <row r="254" spans="1:10" x14ac:dyDescent="0.2">
      <c r="A254" t="s">
        <v>267</v>
      </c>
      <c r="B254" t="s">
        <v>268</v>
      </c>
      <c r="C254" t="s">
        <v>72</v>
      </c>
      <c r="D254" t="s">
        <v>415</v>
      </c>
      <c r="I254">
        <f t="shared" si="18"/>
        <v>0</v>
      </c>
      <c r="J254">
        <f t="shared" si="19"/>
        <v>0</v>
      </c>
    </row>
    <row r="255" spans="1:10" x14ac:dyDescent="0.2">
      <c r="A255" t="s">
        <v>267</v>
      </c>
      <c r="B255" t="s">
        <v>268</v>
      </c>
      <c r="C255" t="s">
        <v>72</v>
      </c>
      <c r="D255" t="s">
        <v>353</v>
      </c>
      <c r="I255">
        <f t="shared" si="18"/>
        <v>0</v>
      </c>
      <c r="J255">
        <f t="shared" si="19"/>
        <v>0</v>
      </c>
    </row>
    <row r="256" spans="1:10" x14ac:dyDescent="0.2">
      <c r="A256" t="s">
        <v>267</v>
      </c>
      <c r="B256" t="s">
        <v>268</v>
      </c>
      <c r="C256" t="s">
        <v>72</v>
      </c>
      <c r="D256" t="s">
        <v>404</v>
      </c>
      <c r="I256">
        <f t="shared" si="18"/>
        <v>0</v>
      </c>
      <c r="J256">
        <f t="shared" si="19"/>
        <v>0</v>
      </c>
    </row>
    <row r="257" spans="1:10" x14ac:dyDescent="0.2">
      <c r="A257" t="s">
        <v>267</v>
      </c>
      <c r="B257" t="s">
        <v>278</v>
      </c>
      <c r="C257" t="s">
        <v>72</v>
      </c>
      <c r="D257" t="s">
        <v>279</v>
      </c>
      <c r="I257">
        <f t="shared" si="18"/>
        <v>0</v>
      </c>
      <c r="J257">
        <f t="shared" si="19"/>
        <v>0</v>
      </c>
    </row>
    <row r="258" spans="1:10" x14ac:dyDescent="0.2">
      <c r="A258" t="s">
        <v>267</v>
      </c>
      <c r="B258" t="s">
        <v>278</v>
      </c>
      <c r="C258" t="s">
        <v>53</v>
      </c>
      <c r="D258" t="s">
        <v>282</v>
      </c>
      <c r="I258">
        <f t="shared" si="18"/>
        <v>0</v>
      </c>
      <c r="J258">
        <f t="shared" si="19"/>
        <v>0</v>
      </c>
    </row>
    <row r="259" spans="1:10" x14ac:dyDescent="0.2">
      <c r="A259" t="s">
        <v>267</v>
      </c>
      <c r="B259" t="s">
        <v>278</v>
      </c>
      <c r="C259" t="s">
        <v>311</v>
      </c>
      <c r="D259" t="s">
        <v>312</v>
      </c>
      <c r="I259">
        <f t="shared" si="18"/>
        <v>0</v>
      </c>
      <c r="J259">
        <f t="shared" si="19"/>
        <v>0</v>
      </c>
    </row>
    <row r="260" spans="1:10" x14ac:dyDescent="0.2">
      <c r="A260" t="s">
        <v>267</v>
      </c>
      <c r="B260" t="s">
        <v>278</v>
      </c>
      <c r="C260" t="s">
        <v>72</v>
      </c>
      <c r="D260" t="s">
        <v>327</v>
      </c>
      <c r="I260">
        <f t="shared" si="18"/>
        <v>0</v>
      </c>
      <c r="J260">
        <f t="shared" si="19"/>
        <v>0</v>
      </c>
    </row>
    <row r="261" spans="1:10" x14ac:dyDescent="0.2">
      <c r="A261" t="s">
        <v>267</v>
      </c>
      <c r="B261" t="s">
        <v>278</v>
      </c>
      <c r="C261" t="s">
        <v>72</v>
      </c>
      <c r="D261" t="s">
        <v>328</v>
      </c>
      <c r="I261">
        <f t="shared" si="18"/>
        <v>0</v>
      </c>
      <c r="J261">
        <f t="shared" si="19"/>
        <v>0</v>
      </c>
    </row>
    <row r="262" spans="1:10" x14ac:dyDescent="0.2">
      <c r="A262" t="s">
        <v>267</v>
      </c>
      <c r="B262" t="s">
        <v>278</v>
      </c>
      <c r="C262" t="s">
        <v>311</v>
      </c>
      <c r="D262" t="s">
        <v>329</v>
      </c>
      <c r="I262">
        <f t="shared" si="18"/>
        <v>0</v>
      </c>
      <c r="J262">
        <f t="shared" si="19"/>
        <v>0</v>
      </c>
    </row>
    <row r="263" spans="1:10" x14ac:dyDescent="0.2">
      <c r="A263" t="s">
        <v>267</v>
      </c>
      <c r="B263" t="s">
        <v>278</v>
      </c>
      <c r="C263" t="s">
        <v>311</v>
      </c>
      <c r="D263" t="s">
        <v>330</v>
      </c>
      <c r="I263">
        <f t="shared" si="18"/>
        <v>0</v>
      </c>
      <c r="J263">
        <f t="shared" si="19"/>
        <v>0</v>
      </c>
    </row>
    <row r="264" spans="1:10" x14ac:dyDescent="0.2">
      <c r="A264" t="s">
        <v>267</v>
      </c>
      <c r="B264" t="s">
        <v>278</v>
      </c>
      <c r="C264" t="s">
        <v>72</v>
      </c>
      <c r="D264" t="s">
        <v>335</v>
      </c>
      <c r="I264">
        <f t="shared" si="18"/>
        <v>0</v>
      </c>
      <c r="J264">
        <f t="shared" si="19"/>
        <v>0</v>
      </c>
    </row>
    <row r="265" spans="1:10" x14ac:dyDescent="0.2">
      <c r="A265" t="s">
        <v>267</v>
      </c>
      <c r="B265" t="s">
        <v>278</v>
      </c>
      <c r="C265" t="s">
        <v>336</v>
      </c>
      <c r="D265" t="s">
        <v>337</v>
      </c>
      <c r="I265">
        <f t="shared" si="18"/>
        <v>0</v>
      </c>
      <c r="J265">
        <f t="shared" si="19"/>
        <v>0</v>
      </c>
    </row>
    <row r="266" spans="1:10" x14ac:dyDescent="0.2">
      <c r="A266" t="s">
        <v>267</v>
      </c>
      <c r="B266" t="s">
        <v>278</v>
      </c>
      <c r="C266" t="s">
        <v>53</v>
      </c>
      <c r="D266" t="s">
        <v>351</v>
      </c>
      <c r="I266">
        <f t="shared" si="18"/>
        <v>0</v>
      </c>
      <c r="J266">
        <f t="shared" si="19"/>
        <v>0</v>
      </c>
    </row>
    <row r="267" spans="1:10" x14ac:dyDescent="0.2">
      <c r="A267" t="s">
        <v>267</v>
      </c>
      <c r="B267" t="s">
        <v>278</v>
      </c>
      <c r="C267" t="s">
        <v>72</v>
      </c>
      <c r="D267" t="s">
        <v>352</v>
      </c>
      <c r="I267">
        <f t="shared" si="18"/>
        <v>0</v>
      </c>
      <c r="J267">
        <f t="shared" si="19"/>
        <v>0</v>
      </c>
    </row>
    <row r="268" spans="1:10" x14ac:dyDescent="0.2">
      <c r="A268" t="s">
        <v>267</v>
      </c>
      <c r="B268" t="s">
        <v>278</v>
      </c>
      <c r="C268" t="s">
        <v>53</v>
      </c>
      <c r="D268" t="s">
        <v>357</v>
      </c>
      <c r="I268">
        <f t="shared" si="18"/>
        <v>0</v>
      </c>
      <c r="J268">
        <f t="shared" si="19"/>
        <v>0</v>
      </c>
    </row>
    <row r="269" spans="1:10" x14ac:dyDescent="0.2">
      <c r="A269" t="s">
        <v>267</v>
      </c>
      <c r="B269" t="s">
        <v>278</v>
      </c>
      <c r="C269" t="s">
        <v>80</v>
      </c>
      <c r="D269" t="s">
        <v>378</v>
      </c>
      <c r="I269">
        <f t="shared" si="18"/>
        <v>0</v>
      </c>
      <c r="J269">
        <f t="shared" si="19"/>
        <v>0</v>
      </c>
    </row>
    <row r="270" spans="1:10" x14ac:dyDescent="0.2">
      <c r="A270" t="s">
        <v>267</v>
      </c>
      <c r="B270" t="s">
        <v>278</v>
      </c>
      <c r="C270" t="s">
        <v>53</v>
      </c>
      <c r="D270" t="s">
        <v>401</v>
      </c>
      <c r="I270">
        <f t="shared" si="18"/>
        <v>0</v>
      </c>
      <c r="J270">
        <f t="shared" si="19"/>
        <v>0</v>
      </c>
    </row>
    <row r="271" spans="1:10" x14ac:dyDescent="0.2">
      <c r="A271" t="s">
        <v>267</v>
      </c>
      <c r="B271" t="s">
        <v>278</v>
      </c>
      <c r="C271" t="s">
        <v>53</v>
      </c>
      <c r="D271" t="s">
        <v>406</v>
      </c>
      <c r="I271">
        <f t="shared" si="18"/>
        <v>0</v>
      </c>
      <c r="J271">
        <f t="shared" si="19"/>
        <v>0</v>
      </c>
    </row>
    <row r="272" spans="1:10" x14ac:dyDescent="0.2">
      <c r="A272" t="s">
        <v>420</v>
      </c>
      <c r="B272" t="s">
        <v>421</v>
      </c>
      <c r="C272" t="s">
        <v>428</v>
      </c>
      <c r="D272" t="s">
        <v>429</v>
      </c>
      <c r="I272">
        <f t="shared" si="18"/>
        <v>0</v>
      </c>
      <c r="J272">
        <f t="shared" si="19"/>
        <v>0</v>
      </c>
    </row>
    <row r="273" spans="1:10" x14ac:dyDescent="0.2">
      <c r="A273" t="s">
        <v>420</v>
      </c>
      <c r="B273" t="s">
        <v>421</v>
      </c>
      <c r="C273" t="s">
        <v>426</v>
      </c>
      <c r="D273" t="s">
        <v>427</v>
      </c>
      <c r="I273">
        <f t="shared" si="18"/>
        <v>0</v>
      </c>
      <c r="J273">
        <f t="shared" si="19"/>
        <v>0</v>
      </c>
    </row>
    <row r="274" spans="1:10" x14ac:dyDescent="0.2">
      <c r="A274" t="s">
        <v>420</v>
      </c>
      <c r="B274" t="s">
        <v>421</v>
      </c>
      <c r="C274" t="s">
        <v>424</v>
      </c>
      <c r="D274" t="s">
        <v>425</v>
      </c>
      <c r="I274">
        <f t="shared" si="18"/>
        <v>0</v>
      </c>
      <c r="J274">
        <f t="shared" si="19"/>
        <v>0</v>
      </c>
    </row>
    <row r="275" spans="1:10" x14ac:dyDescent="0.2">
      <c r="A275" t="s">
        <v>420</v>
      </c>
      <c r="B275" t="s">
        <v>421</v>
      </c>
      <c r="C275" t="s">
        <v>422</v>
      </c>
      <c r="D275" t="s">
        <v>423</v>
      </c>
      <c r="I275">
        <f t="shared" si="18"/>
        <v>0</v>
      </c>
      <c r="J275">
        <f t="shared" si="19"/>
        <v>0</v>
      </c>
    </row>
    <row r="276" spans="1:10" x14ac:dyDescent="0.2">
      <c r="A276" t="s">
        <v>430</v>
      </c>
      <c r="B276" t="s">
        <v>431</v>
      </c>
      <c r="C276" t="s">
        <v>466</v>
      </c>
      <c r="D276" t="s">
        <v>467</v>
      </c>
      <c r="I276">
        <f t="shared" si="18"/>
        <v>0</v>
      </c>
      <c r="J276">
        <f t="shared" si="19"/>
        <v>0</v>
      </c>
    </row>
    <row r="277" spans="1:10" x14ac:dyDescent="0.2">
      <c r="A277" t="s">
        <v>430</v>
      </c>
      <c r="B277" t="s">
        <v>431</v>
      </c>
      <c r="C277" t="s">
        <v>432</v>
      </c>
      <c r="D277" t="s">
        <v>419</v>
      </c>
      <c r="I277">
        <f t="shared" si="18"/>
        <v>0</v>
      </c>
      <c r="J277">
        <f t="shared" si="19"/>
        <v>0</v>
      </c>
    </row>
    <row r="278" spans="1:10" x14ac:dyDescent="0.2">
      <c r="A278" t="s">
        <v>430</v>
      </c>
      <c r="B278" t="s">
        <v>431</v>
      </c>
      <c r="C278" t="s">
        <v>432</v>
      </c>
      <c r="D278" t="s">
        <v>464</v>
      </c>
      <c r="I278">
        <f t="shared" ref="I278:I309" si="20">SUM(E278,G278)</f>
        <v>0</v>
      </c>
      <c r="J278">
        <f t="shared" ref="J278:J309" si="21">SUM(F278,H278)</f>
        <v>0</v>
      </c>
    </row>
    <row r="279" spans="1:10" x14ac:dyDescent="0.2">
      <c r="A279" t="s">
        <v>430</v>
      </c>
      <c r="B279" t="s">
        <v>431</v>
      </c>
      <c r="C279" t="s">
        <v>432</v>
      </c>
      <c r="D279" t="s">
        <v>463</v>
      </c>
      <c r="G279">
        <v>0</v>
      </c>
      <c r="H279">
        <v>13</v>
      </c>
      <c r="I279">
        <f t="shared" si="20"/>
        <v>0</v>
      </c>
      <c r="J279">
        <f t="shared" si="21"/>
        <v>13</v>
      </c>
    </row>
    <row r="280" spans="1:10" x14ac:dyDescent="0.2">
      <c r="A280" t="s">
        <v>430</v>
      </c>
      <c r="B280" t="s">
        <v>431</v>
      </c>
      <c r="C280" t="s">
        <v>432</v>
      </c>
      <c r="D280" t="s">
        <v>462</v>
      </c>
      <c r="F280">
        <v>2</v>
      </c>
      <c r="H280">
        <v>5</v>
      </c>
      <c r="I280">
        <f t="shared" si="20"/>
        <v>0</v>
      </c>
      <c r="J280">
        <f t="shared" si="21"/>
        <v>7</v>
      </c>
    </row>
    <row r="281" spans="1:10" x14ac:dyDescent="0.2">
      <c r="A281" t="s">
        <v>430</v>
      </c>
      <c r="B281" t="s">
        <v>431</v>
      </c>
      <c r="C281" t="s">
        <v>359</v>
      </c>
      <c r="D281" t="s">
        <v>461</v>
      </c>
      <c r="I281">
        <f t="shared" si="20"/>
        <v>0</v>
      </c>
      <c r="J281">
        <f t="shared" si="21"/>
        <v>0</v>
      </c>
    </row>
    <row r="282" spans="1:10" x14ac:dyDescent="0.2">
      <c r="A282" t="s">
        <v>430</v>
      </c>
      <c r="B282" t="s">
        <v>431</v>
      </c>
      <c r="C282" t="s">
        <v>445</v>
      </c>
      <c r="D282" t="s">
        <v>460</v>
      </c>
      <c r="I282">
        <f t="shared" si="20"/>
        <v>0</v>
      </c>
      <c r="J282">
        <f t="shared" si="21"/>
        <v>0</v>
      </c>
    </row>
    <row r="283" spans="1:10" x14ac:dyDescent="0.2">
      <c r="A283" t="s">
        <v>430</v>
      </c>
      <c r="B283" t="s">
        <v>431</v>
      </c>
      <c r="C283" t="s">
        <v>438</v>
      </c>
      <c r="D283" t="s">
        <v>459</v>
      </c>
      <c r="I283">
        <f t="shared" si="20"/>
        <v>0</v>
      </c>
      <c r="J283">
        <f t="shared" si="21"/>
        <v>0</v>
      </c>
    </row>
    <row r="284" spans="1:10" x14ac:dyDescent="0.2">
      <c r="A284" t="s">
        <v>430</v>
      </c>
      <c r="B284" t="s">
        <v>431</v>
      </c>
      <c r="C284" t="s">
        <v>432</v>
      </c>
      <c r="D284" t="s">
        <v>458</v>
      </c>
      <c r="I284">
        <f t="shared" si="20"/>
        <v>0</v>
      </c>
      <c r="J284">
        <f t="shared" si="21"/>
        <v>0</v>
      </c>
    </row>
    <row r="285" spans="1:10" x14ac:dyDescent="0.2">
      <c r="A285" t="s">
        <v>430</v>
      </c>
      <c r="B285" t="s">
        <v>431</v>
      </c>
      <c r="C285" t="s">
        <v>438</v>
      </c>
      <c r="D285" t="s">
        <v>457</v>
      </c>
      <c r="I285">
        <f t="shared" si="20"/>
        <v>0</v>
      </c>
      <c r="J285">
        <f t="shared" si="21"/>
        <v>0</v>
      </c>
    </row>
    <row r="286" spans="1:10" x14ac:dyDescent="0.2">
      <c r="A286" t="s">
        <v>430</v>
      </c>
      <c r="B286" t="s">
        <v>431</v>
      </c>
      <c r="C286" t="s">
        <v>438</v>
      </c>
      <c r="D286" t="s">
        <v>456</v>
      </c>
      <c r="I286">
        <f t="shared" si="20"/>
        <v>0</v>
      </c>
      <c r="J286">
        <f t="shared" si="21"/>
        <v>0</v>
      </c>
    </row>
    <row r="287" spans="1:10" x14ac:dyDescent="0.2">
      <c r="A287" t="s">
        <v>430</v>
      </c>
      <c r="B287" t="s">
        <v>431</v>
      </c>
      <c r="C287" t="s">
        <v>432</v>
      </c>
      <c r="D287" t="s">
        <v>455</v>
      </c>
      <c r="I287">
        <f t="shared" si="20"/>
        <v>0</v>
      </c>
      <c r="J287">
        <f t="shared" si="21"/>
        <v>0</v>
      </c>
    </row>
    <row r="288" spans="1:10" x14ac:dyDescent="0.2">
      <c r="A288" t="s">
        <v>430</v>
      </c>
      <c r="B288" t="s">
        <v>431</v>
      </c>
      <c r="C288" t="s">
        <v>432</v>
      </c>
      <c r="D288" t="s">
        <v>454</v>
      </c>
      <c r="I288">
        <f t="shared" si="20"/>
        <v>0</v>
      </c>
      <c r="J288">
        <f t="shared" si="21"/>
        <v>0</v>
      </c>
    </row>
    <row r="289" spans="1:10" x14ac:dyDescent="0.2">
      <c r="A289" t="s">
        <v>430</v>
      </c>
      <c r="B289" t="s">
        <v>431</v>
      </c>
      <c r="C289" t="s">
        <v>432</v>
      </c>
      <c r="D289" t="s">
        <v>453</v>
      </c>
      <c r="I289">
        <f t="shared" si="20"/>
        <v>0</v>
      </c>
      <c r="J289">
        <f t="shared" si="21"/>
        <v>0</v>
      </c>
    </row>
    <row r="290" spans="1:10" x14ac:dyDescent="0.2">
      <c r="A290" t="s">
        <v>430</v>
      </c>
      <c r="B290" t="s">
        <v>431</v>
      </c>
      <c r="C290" t="s">
        <v>432</v>
      </c>
      <c r="D290" t="s">
        <v>452</v>
      </c>
      <c r="F290">
        <v>0.7</v>
      </c>
      <c r="I290">
        <f t="shared" si="20"/>
        <v>0</v>
      </c>
      <c r="J290">
        <f t="shared" si="21"/>
        <v>0.7</v>
      </c>
    </row>
    <row r="291" spans="1:10" x14ac:dyDescent="0.2">
      <c r="A291" t="s">
        <v>430</v>
      </c>
      <c r="B291" t="s">
        <v>431</v>
      </c>
      <c r="C291" t="s">
        <v>438</v>
      </c>
      <c r="D291" t="s">
        <v>451</v>
      </c>
      <c r="I291">
        <f t="shared" si="20"/>
        <v>0</v>
      </c>
      <c r="J291">
        <f t="shared" si="21"/>
        <v>0</v>
      </c>
    </row>
    <row r="292" spans="1:10" x14ac:dyDescent="0.2">
      <c r="A292" t="s">
        <v>430</v>
      </c>
      <c r="B292" t="s">
        <v>431</v>
      </c>
      <c r="C292" t="s">
        <v>438</v>
      </c>
      <c r="D292" t="s">
        <v>451</v>
      </c>
      <c r="I292">
        <f t="shared" si="20"/>
        <v>0</v>
      </c>
      <c r="J292">
        <f t="shared" si="21"/>
        <v>0</v>
      </c>
    </row>
    <row r="293" spans="1:10" x14ac:dyDescent="0.2">
      <c r="A293" t="s">
        <v>430</v>
      </c>
      <c r="B293" t="s">
        <v>431</v>
      </c>
      <c r="C293" t="s">
        <v>432</v>
      </c>
      <c r="D293" t="s">
        <v>450</v>
      </c>
      <c r="F293">
        <v>1.6</v>
      </c>
      <c r="I293">
        <f t="shared" si="20"/>
        <v>0</v>
      </c>
      <c r="J293">
        <f t="shared" si="21"/>
        <v>1.6</v>
      </c>
    </row>
    <row r="294" spans="1:10" x14ac:dyDescent="0.2">
      <c r="A294" t="s">
        <v>430</v>
      </c>
      <c r="B294" t="s">
        <v>431</v>
      </c>
      <c r="C294" t="s">
        <v>438</v>
      </c>
      <c r="D294" t="s">
        <v>449</v>
      </c>
      <c r="I294">
        <f t="shared" si="20"/>
        <v>0</v>
      </c>
      <c r="J294">
        <f t="shared" si="21"/>
        <v>0</v>
      </c>
    </row>
    <row r="295" spans="1:10" x14ac:dyDescent="0.2">
      <c r="A295" t="s">
        <v>430</v>
      </c>
      <c r="B295" t="s">
        <v>431</v>
      </c>
      <c r="C295" t="s">
        <v>432</v>
      </c>
      <c r="D295" t="s">
        <v>448</v>
      </c>
      <c r="F295">
        <v>3</v>
      </c>
      <c r="H295">
        <v>3</v>
      </c>
      <c r="I295">
        <f t="shared" si="20"/>
        <v>0</v>
      </c>
      <c r="J295">
        <f t="shared" si="21"/>
        <v>6</v>
      </c>
    </row>
    <row r="296" spans="1:10" x14ac:dyDescent="0.2">
      <c r="A296" t="s">
        <v>430</v>
      </c>
      <c r="B296" t="s">
        <v>431</v>
      </c>
      <c r="C296" t="s">
        <v>432</v>
      </c>
      <c r="D296" t="s">
        <v>447</v>
      </c>
      <c r="I296">
        <f t="shared" si="20"/>
        <v>0</v>
      </c>
      <c r="J296">
        <f t="shared" si="21"/>
        <v>0</v>
      </c>
    </row>
    <row r="297" spans="1:10" x14ac:dyDescent="0.2">
      <c r="A297" t="s">
        <v>430</v>
      </c>
      <c r="B297" t="s">
        <v>431</v>
      </c>
      <c r="C297" t="s">
        <v>445</v>
      </c>
      <c r="D297" t="s">
        <v>446</v>
      </c>
      <c r="I297">
        <f t="shared" si="20"/>
        <v>0</v>
      </c>
      <c r="J297">
        <f t="shared" si="21"/>
        <v>0</v>
      </c>
    </row>
    <row r="298" spans="1:10" x14ac:dyDescent="0.2">
      <c r="A298" t="s">
        <v>430</v>
      </c>
      <c r="B298" t="s">
        <v>431</v>
      </c>
      <c r="C298" t="s">
        <v>359</v>
      </c>
      <c r="D298" t="s">
        <v>444</v>
      </c>
      <c r="I298">
        <f t="shared" si="20"/>
        <v>0</v>
      </c>
      <c r="J298">
        <f t="shared" si="21"/>
        <v>0</v>
      </c>
    </row>
    <row r="299" spans="1:10" x14ac:dyDescent="0.2">
      <c r="A299" t="s">
        <v>430</v>
      </c>
      <c r="B299" t="s">
        <v>431</v>
      </c>
      <c r="C299" t="s">
        <v>442</v>
      </c>
      <c r="D299" t="s">
        <v>443</v>
      </c>
      <c r="I299">
        <f t="shared" si="20"/>
        <v>0</v>
      </c>
      <c r="J299">
        <f t="shared" si="21"/>
        <v>0</v>
      </c>
    </row>
    <row r="300" spans="1:10" x14ac:dyDescent="0.2">
      <c r="A300" t="s">
        <v>430</v>
      </c>
      <c r="B300" t="s">
        <v>431</v>
      </c>
      <c r="C300" t="s">
        <v>432</v>
      </c>
      <c r="D300" t="s">
        <v>441</v>
      </c>
      <c r="I300">
        <f t="shared" si="20"/>
        <v>0</v>
      </c>
      <c r="J300">
        <f t="shared" si="21"/>
        <v>0</v>
      </c>
    </row>
    <row r="301" spans="1:10" x14ac:dyDescent="0.2">
      <c r="A301" t="s">
        <v>430</v>
      </c>
      <c r="B301" t="s">
        <v>431</v>
      </c>
      <c r="C301" t="s">
        <v>359</v>
      </c>
      <c r="D301" t="s">
        <v>440</v>
      </c>
      <c r="I301">
        <f t="shared" si="20"/>
        <v>0</v>
      </c>
      <c r="J301">
        <f t="shared" si="21"/>
        <v>0</v>
      </c>
    </row>
    <row r="302" spans="1:10" x14ac:dyDescent="0.2">
      <c r="A302" t="s">
        <v>430</v>
      </c>
      <c r="B302" t="s">
        <v>431</v>
      </c>
      <c r="C302" t="s">
        <v>438</v>
      </c>
      <c r="D302" t="s">
        <v>439</v>
      </c>
      <c r="I302">
        <f t="shared" si="20"/>
        <v>0</v>
      </c>
      <c r="J302">
        <f t="shared" si="21"/>
        <v>0</v>
      </c>
    </row>
    <row r="303" spans="1:10" x14ac:dyDescent="0.2">
      <c r="A303" t="s">
        <v>430</v>
      </c>
      <c r="B303" t="s">
        <v>431</v>
      </c>
      <c r="C303" t="s">
        <v>432</v>
      </c>
      <c r="D303" t="s">
        <v>437</v>
      </c>
      <c r="H303">
        <v>0</v>
      </c>
      <c r="I303">
        <f t="shared" si="20"/>
        <v>0</v>
      </c>
      <c r="J303">
        <f t="shared" si="21"/>
        <v>0</v>
      </c>
    </row>
    <row r="304" spans="1:10" x14ac:dyDescent="0.2">
      <c r="A304" t="s">
        <v>430</v>
      </c>
      <c r="B304" t="s">
        <v>431</v>
      </c>
      <c r="C304" t="s">
        <v>435</v>
      </c>
      <c r="D304" t="s">
        <v>436</v>
      </c>
      <c r="I304">
        <f t="shared" si="20"/>
        <v>0</v>
      </c>
      <c r="J304">
        <f t="shared" si="21"/>
        <v>0</v>
      </c>
    </row>
    <row r="305" spans="1:10" x14ac:dyDescent="0.2">
      <c r="A305" t="s">
        <v>430</v>
      </c>
      <c r="B305" t="s">
        <v>431</v>
      </c>
      <c r="C305" t="s">
        <v>432</v>
      </c>
      <c r="D305" t="s">
        <v>434</v>
      </c>
      <c r="H305">
        <v>8</v>
      </c>
      <c r="I305">
        <f t="shared" si="20"/>
        <v>0</v>
      </c>
      <c r="J305">
        <f t="shared" si="21"/>
        <v>8</v>
      </c>
    </row>
    <row r="306" spans="1:10" x14ac:dyDescent="0.2">
      <c r="A306" t="s">
        <v>430</v>
      </c>
      <c r="B306" t="s">
        <v>431</v>
      </c>
      <c r="C306" t="s">
        <v>432</v>
      </c>
      <c r="D306" t="s">
        <v>433</v>
      </c>
      <c r="H306">
        <v>23</v>
      </c>
      <c r="I306">
        <f t="shared" si="20"/>
        <v>0</v>
      </c>
      <c r="J306">
        <f t="shared" si="21"/>
        <v>23</v>
      </c>
    </row>
    <row r="307" spans="1:10" x14ac:dyDescent="0.2">
      <c r="A307" t="s">
        <v>430</v>
      </c>
      <c r="B307" t="s">
        <v>468</v>
      </c>
      <c r="C307" t="s">
        <v>432</v>
      </c>
      <c r="D307" t="s">
        <v>481</v>
      </c>
      <c r="H307">
        <v>2</v>
      </c>
      <c r="I307">
        <f t="shared" si="20"/>
        <v>0</v>
      </c>
      <c r="J307">
        <f t="shared" si="21"/>
        <v>2</v>
      </c>
    </row>
    <row r="308" spans="1:10" x14ac:dyDescent="0.2">
      <c r="A308" t="s">
        <v>430</v>
      </c>
      <c r="B308" t="s">
        <v>468</v>
      </c>
      <c r="C308" t="s">
        <v>479</v>
      </c>
      <c r="D308" t="s">
        <v>480</v>
      </c>
      <c r="H308">
        <v>5</v>
      </c>
      <c r="I308">
        <f t="shared" si="20"/>
        <v>0</v>
      </c>
      <c r="J308">
        <f t="shared" si="21"/>
        <v>5</v>
      </c>
    </row>
    <row r="309" spans="1:10" x14ac:dyDescent="0.2">
      <c r="A309" t="s">
        <v>430</v>
      </c>
      <c r="B309" t="s">
        <v>468</v>
      </c>
      <c r="C309" t="s">
        <v>435</v>
      </c>
      <c r="D309" t="s">
        <v>477</v>
      </c>
      <c r="I309">
        <f t="shared" si="20"/>
        <v>0</v>
      </c>
      <c r="J309">
        <f t="shared" si="21"/>
        <v>0</v>
      </c>
    </row>
    <row r="310" spans="1:10" x14ac:dyDescent="0.2">
      <c r="A310" t="s">
        <v>430</v>
      </c>
      <c r="B310" t="s">
        <v>468</v>
      </c>
      <c r="C310" t="s">
        <v>432</v>
      </c>
      <c r="D310" t="s">
        <v>476</v>
      </c>
      <c r="I310">
        <f t="shared" ref="I310:I341" si="22">SUM(E310,G310)</f>
        <v>0</v>
      </c>
      <c r="J310">
        <f t="shared" ref="J310:J341" si="23">SUM(F310,H310)</f>
        <v>0</v>
      </c>
    </row>
    <row r="311" spans="1:10" x14ac:dyDescent="0.2">
      <c r="A311" t="s">
        <v>430</v>
      </c>
      <c r="B311" t="s">
        <v>468</v>
      </c>
      <c r="C311" t="s">
        <v>432</v>
      </c>
      <c r="D311" t="s">
        <v>475</v>
      </c>
      <c r="I311">
        <f t="shared" si="22"/>
        <v>0</v>
      </c>
      <c r="J311">
        <f t="shared" si="23"/>
        <v>0</v>
      </c>
    </row>
    <row r="312" spans="1:10" x14ac:dyDescent="0.2">
      <c r="A312" t="s">
        <v>430</v>
      </c>
      <c r="B312" t="s">
        <v>468</v>
      </c>
      <c r="C312" t="s">
        <v>432</v>
      </c>
      <c r="D312" t="s">
        <v>474</v>
      </c>
      <c r="I312">
        <f t="shared" si="22"/>
        <v>0</v>
      </c>
      <c r="J312">
        <f t="shared" si="23"/>
        <v>0</v>
      </c>
    </row>
    <row r="313" spans="1:10" x14ac:dyDescent="0.2">
      <c r="A313" t="s">
        <v>430</v>
      </c>
      <c r="B313" t="s">
        <v>468</v>
      </c>
      <c r="C313" t="s">
        <v>438</v>
      </c>
      <c r="D313" t="s">
        <v>472</v>
      </c>
      <c r="I313">
        <f t="shared" si="22"/>
        <v>0</v>
      </c>
      <c r="J313">
        <f t="shared" si="23"/>
        <v>0</v>
      </c>
    </row>
    <row r="314" spans="1:10" x14ac:dyDescent="0.2">
      <c r="A314" t="s">
        <v>430</v>
      </c>
      <c r="B314" t="s">
        <v>468</v>
      </c>
      <c r="C314" t="s">
        <v>432</v>
      </c>
      <c r="D314" t="s">
        <v>470</v>
      </c>
      <c r="I314">
        <f t="shared" si="22"/>
        <v>0</v>
      </c>
      <c r="J314">
        <f t="shared" si="23"/>
        <v>0</v>
      </c>
    </row>
    <row r="315" spans="1:10" x14ac:dyDescent="0.2">
      <c r="A315" t="s">
        <v>430</v>
      </c>
      <c r="B315" t="s">
        <v>468</v>
      </c>
      <c r="C315" t="s">
        <v>432</v>
      </c>
      <c r="D315" t="s">
        <v>471</v>
      </c>
      <c r="I315">
        <f t="shared" si="22"/>
        <v>0</v>
      </c>
      <c r="J315">
        <f t="shared" si="23"/>
        <v>0</v>
      </c>
    </row>
    <row r="316" spans="1:10" x14ac:dyDescent="0.2">
      <c r="A316" t="s">
        <v>430</v>
      </c>
      <c r="B316" t="s">
        <v>468</v>
      </c>
      <c r="C316" t="s">
        <v>435</v>
      </c>
      <c r="D316" t="s">
        <v>469</v>
      </c>
      <c r="I316">
        <f t="shared" si="22"/>
        <v>0</v>
      </c>
      <c r="J316">
        <f t="shared" si="23"/>
        <v>0</v>
      </c>
    </row>
    <row r="317" spans="1:10" x14ac:dyDescent="0.2">
      <c r="A317" t="s">
        <v>430</v>
      </c>
      <c r="B317" t="s">
        <v>482</v>
      </c>
      <c r="C317" t="s">
        <v>498</v>
      </c>
      <c r="D317" t="s">
        <v>499</v>
      </c>
      <c r="I317">
        <f t="shared" si="22"/>
        <v>0</v>
      </c>
      <c r="J317">
        <f t="shared" si="23"/>
        <v>0</v>
      </c>
    </row>
    <row r="318" spans="1:10" x14ac:dyDescent="0.2">
      <c r="A318" t="s">
        <v>430</v>
      </c>
      <c r="B318" t="s">
        <v>482</v>
      </c>
      <c r="C318" t="s">
        <v>432</v>
      </c>
      <c r="D318" t="s">
        <v>497</v>
      </c>
      <c r="I318">
        <f t="shared" si="22"/>
        <v>0</v>
      </c>
      <c r="J318">
        <f t="shared" si="23"/>
        <v>0</v>
      </c>
    </row>
    <row r="319" spans="1:10" x14ac:dyDescent="0.2">
      <c r="A319" t="s">
        <v>430</v>
      </c>
      <c r="B319" t="s">
        <v>482</v>
      </c>
      <c r="C319" t="s">
        <v>495</v>
      </c>
      <c r="D319" t="s">
        <v>496</v>
      </c>
      <c r="I319">
        <f t="shared" si="22"/>
        <v>0</v>
      </c>
      <c r="J319">
        <f t="shared" si="23"/>
        <v>0</v>
      </c>
    </row>
    <row r="320" spans="1:10" x14ac:dyDescent="0.2">
      <c r="A320" t="s">
        <v>430</v>
      </c>
      <c r="B320" t="s">
        <v>482</v>
      </c>
      <c r="C320" t="s">
        <v>432</v>
      </c>
      <c r="D320" t="s">
        <v>494</v>
      </c>
      <c r="F320">
        <v>1</v>
      </c>
      <c r="I320">
        <f t="shared" si="22"/>
        <v>0</v>
      </c>
      <c r="J320">
        <f t="shared" si="23"/>
        <v>1</v>
      </c>
    </row>
    <row r="321" spans="1:10" x14ac:dyDescent="0.2">
      <c r="A321" t="s">
        <v>430</v>
      </c>
      <c r="B321" t="s">
        <v>482</v>
      </c>
      <c r="C321" t="s">
        <v>432</v>
      </c>
      <c r="D321" t="s">
        <v>493</v>
      </c>
      <c r="I321">
        <f t="shared" si="22"/>
        <v>0</v>
      </c>
      <c r="J321">
        <f t="shared" si="23"/>
        <v>0</v>
      </c>
    </row>
    <row r="322" spans="1:10" x14ac:dyDescent="0.2">
      <c r="A322" t="s">
        <v>430</v>
      </c>
      <c r="B322" t="s">
        <v>482</v>
      </c>
      <c r="C322" t="s">
        <v>432</v>
      </c>
      <c r="D322" t="s">
        <v>560</v>
      </c>
      <c r="F322">
        <v>4.0999999999999996</v>
      </c>
      <c r="I322">
        <f t="shared" si="22"/>
        <v>0</v>
      </c>
      <c r="J322">
        <f t="shared" si="23"/>
        <v>4.0999999999999996</v>
      </c>
    </row>
    <row r="323" spans="1:10" x14ac:dyDescent="0.2">
      <c r="A323" t="s">
        <v>430</v>
      </c>
      <c r="B323" t="s">
        <v>482</v>
      </c>
      <c r="C323" t="s">
        <v>561</v>
      </c>
      <c r="D323" t="s">
        <v>562</v>
      </c>
      <c r="I323">
        <f t="shared" si="22"/>
        <v>0</v>
      </c>
      <c r="J323">
        <f t="shared" si="23"/>
        <v>0</v>
      </c>
    </row>
    <row r="324" spans="1:10" x14ac:dyDescent="0.2">
      <c r="A324" t="s">
        <v>430</v>
      </c>
      <c r="B324" t="s">
        <v>482</v>
      </c>
      <c r="C324" t="s">
        <v>359</v>
      </c>
      <c r="D324" t="s">
        <v>563</v>
      </c>
      <c r="I324">
        <f t="shared" si="22"/>
        <v>0</v>
      </c>
      <c r="J324">
        <f t="shared" si="23"/>
        <v>0</v>
      </c>
    </row>
    <row r="325" spans="1:10" x14ac:dyDescent="0.2">
      <c r="A325" t="s">
        <v>430</v>
      </c>
      <c r="B325" t="s">
        <v>482</v>
      </c>
      <c r="C325" t="s">
        <v>432</v>
      </c>
      <c r="D325" t="s">
        <v>492</v>
      </c>
      <c r="I325">
        <f t="shared" si="22"/>
        <v>0</v>
      </c>
      <c r="J325">
        <f t="shared" si="23"/>
        <v>0</v>
      </c>
    </row>
    <row r="326" spans="1:10" x14ac:dyDescent="0.2">
      <c r="A326" t="s">
        <v>430</v>
      </c>
      <c r="B326" t="s">
        <v>482</v>
      </c>
      <c r="C326" t="s">
        <v>432</v>
      </c>
      <c r="D326" t="s">
        <v>491</v>
      </c>
      <c r="I326">
        <f t="shared" si="22"/>
        <v>0</v>
      </c>
      <c r="J326">
        <f t="shared" si="23"/>
        <v>0</v>
      </c>
    </row>
    <row r="327" spans="1:10" x14ac:dyDescent="0.2">
      <c r="A327" t="s">
        <v>430</v>
      </c>
      <c r="B327" t="s">
        <v>482</v>
      </c>
      <c r="C327" t="s">
        <v>56</v>
      </c>
      <c r="D327" t="s">
        <v>490</v>
      </c>
      <c r="I327">
        <f t="shared" si="22"/>
        <v>0</v>
      </c>
      <c r="J327">
        <f t="shared" si="23"/>
        <v>0</v>
      </c>
    </row>
    <row r="328" spans="1:10" x14ac:dyDescent="0.2">
      <c r="A328" t="s">
        <v>430</v>
      </c>
      <c r="B328" t="s">
        <v>482</v>
      </c>
      <c r="C328" t="s">
        <v>438</v>
      </c>
      <c r="D328" t="s">
        <v>489</v>
      </c>
      <c r="I328">
        <f t="shared" si="22"/>
        <v>0</v>
      </c>
      <c r="J328">
        <f t="shared" si="23"/>
        <v>0</v>
      </c>
    </row>
    <row r="329" spans="1:10" x14ac:dyDescent="0.2">
      <c r="A329" t="s">
        <v>430</v>
      </c>
      <c r="B329" t="s">
        <v>482</v>
      </c>
      <c r="C329" t="s">
        <v>487</v>
      </c>
      <c r="D329" t="s">
        <v>488</v>
      </c>
      <c r="I329">
        <f t="shared" si="22"/>
        <v>0</v>
      </c>
      <c r="J329">
        <f t="shared" si="23"/>
        <v>0</v>
      </c>
    </row>
    <row r="330" spans="1:10" x14ac:dyDescent="0.2">
      <c r="A330" t="s">
        <v>430</v>
      </c>
      <c r="B330" t="s">
        <v>482</v>
      </c>
      <c r="C330" t="s">
        <v>438</v>
      </c>
      <c r="D330" t="s">
        <v>486</v>
      </c>
      <c r="I330">
        <f t="shared" si="22"/>
        <v>0</v>
      </c>
      <c r="J330">
        <f t="shared" si="23"/>
        <v>0</v>
      </c>
    </row>
    <row r="331" spans="1:10" x14ac:dyDescent="0.2">
      <c r="A331" t="s">
        <v>430</v>
      </c>
      <c r="B331" t="s">
        <v>482</v>
      </c>
      <c r="C331" t="s">
        <v>432</v>
      </c>
      <c r="D331" t="s">
        <v>485</v>
      </c>
      <c r="F331">
        <v>1.5</v>
      </c>
      <c r="I331">
        <f t="shared" si="22"/>
        <v>0</v>
      </c>
      <c r="J331">
        <f t="shared" si="23"/>
        <v>1.5</v>
      </c>
    </row>
    <row r="332" spans="1:10" x14ac:dyDescent="0.2">
      <c r="A332" t="s">
        <v>430</v>
      </c>
      <c r="B332" t="s">
        <v>482</v>
      </c>
      <c r="C332" t="s">
        <v>432</v>
      </c>
      <c r="D332" t="s">
        <v>484</v>
      </c>
      <c r="F332">
        <v>0.8</v>
      </c>
      <c r="I332">
        <f t="shared" si="22"/>
        <v>0</v>
      </c>
      <c r="J332">
        <f t="shared" si="23"/>
        <v>0.8</v>
      </c>
    </row>
    <row r="333" spans="1:10" x14ac:dyDescent="0.2">
      <c r="A333" t="s">
        <v>430</v>
      </c>
      <c r="B333" t="s">
        <v>482</v>
      </c>
      <c r="C333" t="s">
        <v>432</v>
      </c>
      <c r="D333" t="s">
        <v>483</v>
      </c>
      <c r="I333">
        <f t="shared" si="22"/>
        <v>0</v>
      </c>
      <c r="J333">
        <f t="shared" si="23"/>
        <v>0</v>
      </c>
    </row>
    <row r="334" spans="1:10" x14ac:dyDescent="0.2">
      <c r="A334" t="s">
        <v>430</v>
      </c>
      <c r="B334" t="s">
        <v>500</v>
      </c>
      <c r="C334" t="s">
        <v>432</v>
      </c>
      <c r="D334" t="s">
        <v>528</v>
      </c>
      <c r="F334">
        <v>2.5</v>
      </c>
      <c r="I334">
        <f t="shared" si="22"/>
        <v>0</v>
      </c>
      <c r="J334">
        <f t="shared" si="23"/>
        <v>2.5</v>
      </c>
    </row>
    <row r="335" spans="1:10" x14ac:dyDescent="0.2">
      <c r="A335" t="s">
        <v>430</v>
      </c>
      <c r="B335" t="s">
        <v>500</v>
      </c>
      <c r="C335" t="s">
        <v>438</v>
      </c>
      <c r="D335" t="s">
        <v>527</v>
      </c>
      <c r="F335">
        <v>2.8</v>
      </c>
      <c r="I335">
        <f t="shared" si="22"/>
        <v>0</v>
      </c>
      <c r="J335">
        <f t="shared" si="23"/>
        <v>2.8</v>
      </c>
    </row>
    <row r="336" spans="1:10" x14ac:dyDescent="0.2">
      <c r="A336" t="s">
        <v>430</v>
      </c>
      <c r="B336" t="s">
        <v>500</v>
      </c>
      <c r="C336" t="s">
        <v>432</v>
      </c>
      <c r="D336" t="s">
        <v>526</v>
      </c>
      <c r="F336">
        <v>0.2</v>
      </c>
      <c r="I336">
        <f t="shared" si="22"/>
        <v>0</v>
      </c>
      <c r="J336">
        <f t="shared" si="23"/>
        <v>0.2</v>
      </c>
    </row>
    <row r="337" spans="1:10" x14ac:dyDescent="0.2">
      <c r="A337" t="s">
        <v>430</v>
      </c>
      <c r="B337" t="s">
        <v>500</v>
      </c>
      <c r="C337" t="s">
        <v>359</v>
      </c>
      <c r="D337" t="s">
        <v>525</v>
      </c>
      <c r="I337">
        <f t="shared" si="22"/>
        <v>0</v>
      </c>
      <c r="J337">
        <f t="shared" si="23"/>
        <v>0</v>
      </c>
    </row>
    <row r="338" spans="1:10" x14ac:dyDescent="0.2">
      <c r="A338" t="s">
        <v>430</v>
      </c>
      <c r="B338" t="s">
        <v>500</v>
      </c>
      <c r="C338" t="s">
        <v>498</v>
      </c>
      <c r="D338" t="s">
        <v>524</v>
      </c>
      <c r="I338">
        <f t="shared" si="22"/>
        <v>0</v>
      </c>
      <c r="J338">
        <f t="shared" si="23"/>
        <v>0</v>
      </c>
    </row>
    <row r="339" spans="1:10" x14ac:dyDescent="0.2">
      <c r="A339" t="s">
        <v>430</v>
      </c>
      <c r="B339" t="s">
        <v>500</v>
      </c>
      <c r="C339" t="s">
        <v>432</v>
      </c>
      <c r="D339" t="s">
        <v>523</v>
      </c>
      <c r="I339">
        <f t="shared" si="22"/>
        <v>0</v>
      </c>
      <c r="J339">
        <f t="shared" si="23"/>
        <v>0</v>
      </c>
    </row>
    <row r="340" spans="1:10" x14ac:dyDescent="0.2">
      <c r="A340" t="s">
        <v>430</v>
      </c>
      <c r="B340" t="s">
        <v>500</v>
      </c>
      <c r="C340" t="s">
        <v>438</v>
      </c>
      <c r="D340" t="s">
        <v>522</v>
      </c>
      <c r="I340">
        <f t="shared" si="22"/>
        <v>0</v>
      </c>
      <c r="J340">
        <f t="shared" si="23"/>
        <v>0</v>
      </c>
    </row>
    <row r="341" spans="1:10" x14ac:dyDescent="0.2">
      <c r="A341" t="s">
        <v>430</v>
      </c>
      <c r="B341" t="s">
        <v>500</v>
      </c>
      <c r="C341" t="s">
        <v>498</v>
      </c>
      <c r="D341" t="s">
        <v>521</v>
      </c>
      <c r="I341">
        <f t="shared" si="22"/>
        <v>0</v>
      </c>
      <c r="J341">
        <f t="shared" si="23"/>
        <v>0</v>
      </c>
    </row>
    <row r="342" spans="1:10" x14ac:dyDescent="0.2">
      <c r="A342" t="s">
        <v>430</v>
      </c>
      <c r="B342" t="s">
        <v>500</v>
      </c>
      <c r="C342" t="s">
        <v>432</v>
      </c>
      <c r="D342" t="s">
        <v>520</v>
      </c>
      <c r="I342">
        <f t="shared" ref="I342:I361" si="24">SUM(E342,G342)</f>
        <v>0</v>
      </c>
      <c r="J342">
        <f t="shared" ref="J342:J361" si="25">SUM(F342,H342)</f>
        <v>0</v>
      </c>
    </row>
    <row r="343" spans="1:10" x14ac:dyDescent="0.2">
      <c r="A343" t="s">
        <v>430</v>
      </c>
      <c r="B343" t="s">
        <v>468</v>
      </c>
      <c r="C343" t="s">
        <v>432</v>
      </c>
      <c r="D343" t="s">
        <v>478</v>
      </c>
      <c r="F343">
        <v>3.1</v>
      </c>
      <c r="I343">
        <f t="shared" si="24"/>
        <v>0</v>
      </c>
      <c r="J343">
        <f t="shared" si="25"/>
        <v>3.1</v>
      </c>
    </row>
    <row r="344" spans="1:10" x14ac:dyDescent="0.2">
      <c r="A344" t="s">
        <v>430</v>
      </c>
      <c r="B344" t="s">
        <v>500</v>
      </c>
      <c r="C344" t="s">
        <v>518</v>
      </c>
      <c r="D344" t="s">
        <v>519</v>
      </c>
      <c r="I344">
        <f t="shared" si="24"/>
        <v>0</v>
      </c>
      <c r="J344">
        <f t="shared" si="25"/>
        <v>0</v>
      </c>
    </row>
    <row r="345" spans="1:10" x14ac:dyDescent="0.2">
      <c r="A345" t="s">
        <v>430</v>
      </c>
      <c r="B345" t="s">
        <v>500</v>
      </c>
      <c r="C345" t="s">
        <v>432</v>
      </c>
      <c r="D345" t="s">
        <v>517</v>
      </c>
      <c r="I345">
        <f t="shared" si="24"/>
        <v>0</v>
      </c>
      <c r="J345">
        <f t="shared" si="25"/>
        <v>0</v>
      </c>
    </row>
    <row r="346" spans="1:10" x14ac:dyDescent="0.2">
      <c r="A346" t="s">
        <v>430</v>
      </c>
      <c r="B346" t="s">
        <v>500</v>
      </c>
      <c r="C346" t="s">
        <v>438</v>
      </c>
      <c r="D346" t="s">
        <v>516</v>
      </c>
      <c r="I346">
        <f t="shared" si="24"/>
        <v>0</v>
      </c>
      <c r="J346">
        <f t="shared" si="25"/>
        <v>0</v>
      </c>
    </row>
    <row r="347" spans="1:10" x14ac:dyDescent="0.2">
      <c r="A347" t="s">
        <v>430</v>
      </c>
      <c r="B347" t="s">
        <v>500</v>
      </c>
      <c r="C347" t="s">
        <v>438</v>
      </c>
      <c r="D347" t="s">
        <v>564</v>
      </c>
      <c r="I347">
        <f t="shared" si="24"/>
        <v>0</v>
      </c>
      <c r="J347">
        <f t="shared" si="25"/>
        <v>0</v>
      </c>
    </row>
    <row r="348" spans="1:10" x14ac:dyDescent="0.2">
      <c r="A348" t="s">
        <v>430</v>
      </c>
      <c r="B348" t="s">
        <v>500</v>
      </c>
      <c r="C348" t="s">
        <v>438</v>
      </c>
      <c r="D348" t="s">
        <v>514</v>
      </c>
      <c r="I348">
        <f t="shared" si="24"/>
        <v>0</v>
      </c>
      <c r="J348">
        <f t="shared" si="25"/>
        <v>0</v>
      </c>
    </row>
    <row r="349" spans="1:10" x14ac:dyDescent="0.2">
      <c r="A349" t="s">
        <v>430</v>
      </c>
      <c r="B349" t="s">
        <v>500</v>
      </c>
      <c r="C349" t="s">
        <v>432</v>
      </c>
      <c r="D349" t="s">
        <v>513</v>
      </c>
      <c r="I349">
        <f t="shared" si="24"/>
        <v>0</v>
      </c>
      <c r="J349">
        <f t="shared" si="25"/>
        <v>0</v>
      </c>
    </row>
    <row r="350" spans="1:10" x14ac:dyDescent="0.2">
      <c r="A350" t="s">
        <v>430</v>
      </c>
      <c r="B350" t="s">
        <v>500</v>
      </c>
      <c r="C350" t="s">
        <v>432</v>
      </c>
      <c r="D350" t="s">
        <v>512</v>
      </c>
      <c r="F350">
        <v>0</v>
      </c>
      <c r="I350">
        <f t="shared" si="24"/>
        <v>0</v>
      </c>
      <c r="J350">
        <f t="shared" si="25"/>
        <v>0</v>
      </c>
    </row>
    <row r="351" spans="1:10" x14ac:dyDescent="0.2">
      <c r="A351" t="s">
        <v>430</v>
      </c>
      <c r="B351" t="s">
        <v>500</v>
      </c>
      <c r="C351" t="s">
        <v>438</v>
      </c>
      <c r="D351" t="s">
        <v>565</v>
      </c>
      <c r="I351">
        <f t="shared" si="24"/>
        <v>0</v>
      </c>
      <c r="J351">
        <f t="shared" si="25"/>
        <v>0</v>
      </c>
    </row>
    <row r="352" spans="1:10" x14ac:dyDescent="0.2">
      <c r="A352" t="s">
        <v>430</v>
      </c>
      <c r="B352" t="s">
        <v>500</v>
      </c>
      <c r="C352" t="s">
        <v>432</v>
      </c>
      <c r="D352" t="s">
        <v>510</v>
      </c>
      <c r="H352">
        <v>1</v>
      </c>
      <c r="I352">
        <f t="shared" si="24"/>
        <v>0</v>
      </c>
      <c r="J352">
        <f t="shared" si="25"/>
        <v>1</v>
      </c>
    </row>
    <row r="353" spans="1:10" x14ac:dyDescent="0.2">
      <c r="A353" t="s">
        <v>430</v>
      </c>
      <c r="B353" t="s">
        <v>500</v>
      </c>
      <c r="C353" t="s">
        <v>432</v>
      </c>
      <c r="D353" t="s">
        <v>509</v>
      </c>
      <c r="I353">
        <f t="shared" si="24"/>
        <v>0</v>
      </c>
      <c r="J353">
        <f t="shared" si="25"/>
        <v>0</v>
      </c>
    </row>
    <row r="354" spans="1:10" x14ac:dyDescent="0.2">
      <c r="A354" t="s">
        <v>430</v>
      </c>
      <c r="B354" t="s">
        <v>500</v>
      </c>
      <c r="C354" t="s">
        <v>498</v>
      </c>
      <c r="D354" t="s">
        <v>508</v>
      </c>
      <c r="I354">
        <f t="shared" si="24"/>
        <v>0</v>
      </c>
      <c r="J354">
        <f t="shared" si="25"/>
        <v>0</v>
      </c>
    </row>
    <row r="355" spans="1:10" x14ac:dyDescent="0.2">
      <c r="A355" t="s">
        <v>430</v>
      </c>
      <c r="B355" t="s">
        <v>500</v>
      </c>
      <c r="C355" t="s">
        <v>498</v>
      </c>
      <c r="D355" t="s">
        <v>507</v>
      </c>
      <c r="I355">
        <f t="shared" si="24"/>
        <v>0</v>
      </c>
      <c r="J355">
        <f t="shared" si="25"/>
        <v>0</v>
      </c>
    </row>
    <row r="356" spans="1:10" x14ac:dyDescent="0.2">
      <c r="A356" t="s">
        <v>430</v>
      </c>
      <c r="B356" t="s">
        <v>500</v>
      </c>
      <c r="C356" t="s">
        <v>359</v>
      </c>
      <c r="D356" t="s">
        <v>506</v>
      </c>
      <c r="I356">
        <f t="shared" si="24"/>
        <v>0</v>
      </c>
      <c r="J356">
        <f t="shared" si="25"/>
        <v>0</v>
      </c>
    </row>
    <row r="357" spans="1:10" x14ac:dyDescent="0.2">
      <c r="A357" t="s">
        <v>430</v>
      </c>
      <c r="B357" t="s">
        <v>500</v>
      </c>
      <c r="C357" t="s">
        <v>432</v>
      </c>
      <c r="D357" t="s">
        <v>505</v>
      </c>
      <c r="I357">
        <f t="shared" si="24"/>
        <v>0</v>
      </c>
      <c r="J357">
        <f t="shared" si="25"/>
        <v>0</v>
      </c>
    </row>
    <row r="358" spans="1:10" x14ac:dyDescent="0.2">
      <c r="A358" t="s">
        <v>430</v>
      </c>
      <c r="B358" t="s">
        <v>500</v>
      </c>
      <c r="C358" t="s">
        <v>432</v>
      </c>
      <c r="D358" t="s">
        <v>504</v>
      </c>
      <c r="F358">
        <v>3.5</v>
      </c>
      <c r="I358">
        <f t="shared" si="24"/>
        <v>0</v>
      </c>
      <c r="J358">
        <f t="shared" si="25"/>
        <v>3.5</v>
      </c>
    </row>
    <row r="359" spans="1:10" x14ac:dyDescent="0.2">
      <c r="A359" t="s">
        <v>430</v>
      </c>
      <c r="B359" t="s">
        <v>500</v>
      </c>
      <c r="C359" t="s">
        <v>432</v>
      </c>
      <c r="D359" t="s">
        <v>503</v>
      </c>
      <c r="I359">
        <f t="shared" si="24"/>
        <v>0</v>
      </c>
      <c r="J359">
        <f t="shared" si="25"/>
        <v>0</v>
      </c>
    </row>
    <row r="360" spans="1:10" x14ac:dyDescent="0.2">
      <c r="A360" t="s">
        <v>430</v>
      </c>
      <c r="B360" t="s">
        <v>500</v>
      </c>
      <c r="C360" t="s">
        <v>432</v>
      </c>
      <c r="D360" t="s">
        <v>502</v>
      </c>
      <c r="F360">
        <v>2.5</v>
      </c>
      <c r="I360">
        <f t="shared" si="24"/>
        <v>0</v>
      </c>
      <c r="J360">
        <f t="shared" si="25"/>
        <v>2.5</v>
      </c>
    </row>
    <row r="361" spans="1:10" x14ac:dyDescent="0.2">
      <c r="A361" t="s">
        <v>430</v>
      </c>
      <c r="B361" t="s">
        <v>500</v>
      </c>
      <c r="C361" t="s">
        <v>438</v>
      </c>
      <c r="D361" t="s">
        <v>501</v>
      </c>
      <c r="I361">
        <f t="shared" si="24"/>
        <v>0</v>
      </c>
      <c r="J361">
        <f t="shared" si="25"/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61"/>
  <sheetViews>
    <sheetView tabSelected="1" workbookViewId="0"/>
  </sheetViews>
  <sheetFormatPr baseColWidth="10" defaultColWidth="8.83203125" defaultRowHeight="15" x14ac:dyDescent="0.2"/>
  <cols>
    <col min="1" max="1" width="18.5" customWidth="1"/>
    <col min="2" max="2" width="23.33203125" customWidth="1"/>
    <col min="3" max="3" width="18.1640625" customWidth="1"/>
    <col min="4" max="4" width="57.6640625" customWidth="1"/>
    <col min="5" max="5" width="8.6640625" customWidth="1"/>
  </cols>
  <sheetData>
    <row r="1" spans="1:10" x14ac:dyDescent="0.2">
      <c r="E1" t="s">
        <v>13</v>
      </c>
      <c r="G1" t="s">
        <v>14</v>
      </c>
      <c r="I1" t="s">
        <v>4</v>
      </c>
    </row>
    <row r="2" spans="1:10" x14ac:dyDescent="0.2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21</v>
      </c>
      <c r="H2" t="s">
        <v>22</v>
      </c>
      <c r="I2" t="s">
        <v>21</v>
      </c>
      <c r="J2" t="s">
        <v>22</v>
      </c>
    </row>
    <row r="3" spans="1:10" x14ac:dyDescent="0.2">
      <c r="A3" t="s">
        <v>23</v>
      </c>
      <c r="B3" t="s">
        <v>24</v>
      </c>
      <c r="C3" t="s">
        <v>37</v>
      </c>
      <c r="D3" t="s">
        <v>38</v>
      </c>
      <c r="I3">
        <f>SUM(E3,G3)</f>
        <v>0</v>
      </c>
      <c r="J3">
        <f>SUM(F3,H3)</f>
        <v>0</v>
      </c>
    </row>
    <row r="4" spans="1:10" x14ac:dyDescent="0.2">
      <c r="A4" t="s">
        <v>23</v>
      </c>
      <c r="B4" t="s">
        <v>24</v>
      </c>
      <c r="C4" t="s">
        <v>546</v>
      </c>
      <c r="D4" t="s">
        <v>547</v>
      </c>
    </row>
    <row r="5" spans="1:10" x14ac:dyDescent="0.2">
      <c r="A5" t="s">
        <v>23</v>
      </c>
      <c r="B5" t="s">
        <v>24</v>
      </c>
      <c r="C5" t="s">
        <v>25</v>
      </c>
      <c r="D5" t="s">
        <v>35</v>
      </c>
      <c r="F5">
        <v>24</v>
      </c>
      <c r="H5">
        <v>109</v>
      </c>
      <c r="I5">
        <f t="shared" ref="I5:I24" si="0">SUM(E5,G5)</f>
        <v>0</v>
      </c>
      <c r="J5">
        <f t="shared" ref="J5:J24" si="1">SUM(F5,H5)</f>
        <v>133</v>
      </c>
    </row>
    <row r="6" spans="1:10" x14ac:dyDescent="0.2">
      <c r="A6" t="s">
        <v>23</v>
      </c>
      <c r="B6" t="s">
        <v>24</v>
      </c>
      <c r="C6" t="s">
        <v>33</v>
      </c>
      <c r="D6" t="s">
        <v>34</v>
      </c>
      <c r="F6">
        <v>16</v>
      </c>
      <c r="H6">
        <v>48</v>
      </c>
      <c r="I6">
        <f t="shared" si="0"/>
        <v>0</v>
      </c>
      <c r="J6">
        <f t="shared" si="1"/>
        <v>64</v>
      </c>
    </row>
    <row r="7" spans="1:10" x14ac:dyDescent="0.2">
      <c r="A7" t="s">
        <v>23</v>
      </c>
      <c r="B7" t="s">
        <v>24</v>
      </c>
      <c r="C7" t="s">
        <v>31</v>
      </c>
      <c r="D7" t="s">
        <v>32</v>
      </c>
      <c r="F7">
        <v>7</v>
      </c>
      <c r="H7">
        <v>29</v>
      </c>
      <c r="I7">
        <f t="shared" si="0"/>
        <v>0</v>
      </c>
      <c r="J7">
        <f t="shared" si="1"/>
        <v>36</v>
      </c>
    </row>
    <row r="8" spans="1:10" x14ac:dyDescent="0.2">
      <c r="A8" t="s">
        <v>23</v>
      </c>
      <c r="B8" t="s">
        <v>24</v>
      </c>
      <c r="C8" t="s">
        <v>29</v>
      </c>
      <c r="D8" t="s">
        <v>30</v>
      </c>
      <c r="I8">
        <f t="shared" si="0"/>
        <v>0</v>
      </c>
      <c r="J8">
        <f t="shared" si="1"/>
        <v>0</v>
      </c>
    </row>
    <row r="9" spans="1:10" x14ac:dyDescent="0.2">
      <c r="A9" t="s">
        <v>23</v>
      </c>
      <c r="B9" t="s">
        <v>24</v>
      </c>
      <c r="C9" t="s">
        <v>25</v>
      </c>
      <c r="D9" t="s">
        <v>548</v>
      </c>
      <c r="I9">
        <f t="shared" si="0"/>
        <v>0</v>
      </c>
      <c r="J9">
        <f t="shared" si="1"/>
        <v>0</v>
      </c>
    </row>
    <row r="10" spans="1:10" x14ac:dyDescent="0.2">
      <c r="A10" t="s">
        <v>23</v>
      </c>
      <c r="B10" t="s">
        <v>24</v>
      </c>
      <c r="C10" t="s">
        <v>25</v>
      </c>
      <c r="D10" t="s">
        <v>549</v>
      </c>
      <c r="I10">
        <f t="shared" si="0"/>
        <v>0</v>
      </c>
      <c r="J10">
        <f t="shared" si="1"/>
        <v>0</v>
      </c>
    </row>
    <row r="11" spans="1:10" x14ac:dyDescent="0.2">
      <c r="A11" t="s">
        <v>23</v>
      </c>
      <c r="B11" t="s">
        <v>24</v>
      </c>
      <c r="C11" t="s">
        <v>25</v>
      </c>
      <c r="D11" t="s">
        <v>26</v>
      </c>
      <c r="F11">
        <v>24</v>
      </c>
      <c r="H11">
        <v>93</v>
      </c>
      <c r="I11">
        <f t="shared" si="0"/>
        <v>0</v>
      </c>
      <c r="J11">
        <f t="shared" si="1"/>
        <v>117</v>
      </c>
    </row>
    <row r="12" spans="1:10" x14ac:dyDescent="0.2">
      <c r="A12" t="s">
        <v>23</v>
      </c>
      <c r="B12" t="s">
        <v>40</v>
      </c>
      <c r="C12" t="s">
        <v>41</v>
      </c>
      <c r="D12" t="s">
        <v>42</v>
      </c>
      <c r="I12">
        <f t="shared" si="0"/>
        <v>0</v>
      </c>
      <c r="J12">
        <f t="shared" si="1"/>
        <v>0</v>
      </c>
    </row>
    <row r="13" spans="1:10" x14ac:dyDescent="0.2">
      <c r="A13" t="s">
        <v>23</v>
      </c>
      <c r="B13" t="s">
        <v>43</v>
      </c>
      <c r="C13" t="s">
        <v>41</v>
      </c>
      <c r="D13" t="s">
        <v>46</v>
      </c>
      <c r="I13">
        <f t="shared" si="0"/>
        <v>0</v>
      </c>
      <c r="J13">
        <f t="shared" si="1"/>
        <v>0</v>
      </c>
    </row>
    <row r="14" spans="1:10" x14ac:dyDescent="0.2">
      <c r="A14" t="s">
        <v>23</v>
      </c>
      <c r="B14" t="s">
        <v>43</v>
      </c>
      <c r="C14" t="s">
        <v>44</v>
      </c>
      <c r="D14" t="s">
        <v>45</v>
      </c>
      <c r="F14">
        <v>15</v>
      </c>
      <c r="H14">
        <v>17</v>
      </c>
      <c r="I14">
        <f t="shared" si="0"/>
        <v>0</v>
      </c>
      <c r="J14">
        <f t="shared" si="1"/>
        <v>32</v>
      </c>
    </row>
    <row r="15" spans="1:10" x14ac:dyDescent="0.2">
      <c r="A15" t="s">
        <v>47</v>
      </c>
      <c r="B15" t="s">
        <v>48</v>
      </c>
      <c r="C15" t="s">
        <v>53</v>
      </c>
      <c r="D15" t="s">
        <v>54</v>
      </c>
      <c r="I15">
        <f t="shared" si="0"/>
        <v>0</v>
      </c>
      <c r="J15">
        <f t="shared" si="1"/>
        <v>0</v>
      </c>
    </row>
    <row r="16" spans="1:10" x14ac:dyDescent="0.2">
      <c r="A16" t="s">
        <v>47</v>
      </c>
      <c r="B16" t="s">
        <v>48</v>
      </c>
      <c r="C16" t="s">
        <v>51</v>
      </c>
      <c r="D16" t="s">
        <v>52</v>
      </c>
      <c r="I16">
        <f t="shared" si="0"/>
        <v>0</v>
      </c>
      <c r="J16">
        <f t="shared" si="1"/>
        <v>0</v>
      </c>
    </row>
    <row r="17" spans="1:10" x14ac:dyDescent="0.2">
      <c r="A17" t="s">
        <v>47</v>
      </c>
      <c r="B17" t="s">
        <v>48</v>
      </c>
      <c r="C17" t="s">
        <v>49</v>
      </c>
      <c r="D17" t="s">
        <v>50</v>
      </c>
      <c r="I17">
        <f t="shared" si="0"/>
        <v>0</v>
      </c>
      <c r="J17">
        <f t="shared" si="1"/>
        <v>0</v>
      </c>
    </row>
    <row r="18" spans="1:10" x14ac:dyDescent="0.2">
      <c r="A18" t="s">
        <v>47</v>
      </c>
      <c r="B18" t="s">
        <v>55</v>
      </c>
      <c r="C18" t="s">
        <v>58</v>
      </c>
      <c r="D18" t="s">
        <v>60</v>
      </c>
      <c r="I18">
        <f t="shared" si="0"/>
        <v>0</v>
      </c>
      <c r="J18">
        <f t="shared" si="1"/>
        <v>0</v>
      </c>
    </row>
    <row r="19" spans="1:10" x14ac:dyDescent="0.2">
      <c r="A19" t="s">
        <v>47</v>
      </c>
      <c r="B19" t="s">
        <v>55</v>
      </c>
      <c r="C19" t="s">
        <v>58</v>
      </c>
      <c r="D19" t="s">
        <v>59</v>
      </c>
      <c r="I19">
        <f t="shared" si="0"/>
        <v>0</v>
      </c>
      <c r="J19">
        <f t="shared" si="1"/>
        <v>0</v>
      </c>
    </row>
    <row r="20" spans="1:10" x14ac:dyDescent="0.2">
      <c r="A20" t="s">
        <v>47</v>
      </c>
      <c r="B20" t="s">
        <v>55</v>
      </c>
      <c r="C20" t="s">
        <v>56</v>
      </c>
      <c r="D20" t="s">
        <v>57</v>
      </c>
      <c r="F20">
        <v>9</v>
      </c>
      <c r="H20">
        <v>51</v>
      </c>
      <c r="I20">
        <f t="shared" si="0"/>
        <v>0</v>
      </c>
      <c r="J20">
        <f t="shared" si="1"/>
        <v>60</v>
      </c>
    </row>
    <row r="21" spans="1:10" x14ac:dyDescent="0.2">
      <c r="A21" t="s">
        <v>47</v>
      </c>
      <c r="B21" t="s">
        <v>61</v>
      </c>
      <c r="C21" t="s">
        <v>67</v>
      </c>
      <c r="D21" t="s">
        <v>69</v>
      </c>
      <c r="F21">
        <v>5.5</v>
      </c>
      <c r="H21">
        <v>8</v>
      </c>
      <c r="I21">
        <f t="shared" si="0"/>
        <v>0</v>
      </c>
      <c r="J21">
        <f t="shared" si="1"/>
        <v>13.5</v>
      </c>
    </row>
    <row r="22" spans="1:10" x14ac:dyDescent="0.2">
      <c r="A22" t="s">
        <v>47</v>
      </c>
      <c r="B22" t="s">
        <v>61</v>
      </c>
      <c r="C22" t="s">
        <v>67</v>
      </c>
      <c r="D22" t="s">
        <v>68</v>
      </c>
      <c r="F22">
        <v>3.2</v>
      </c>
      <c r="I22">
        <f t="shared" si="0"/>
        <v>0</v>
      </c>
      <c r="J22">
        <f t="shared" si="1"/>
        <v>3.2</v>
      </c>
    </row>
    <row r="23" spans="1:10" x14ac:dyDescent="0.2">
      <c r="A23" t="s">
        <v>47</v>
      </c>
      <c r="B23" t="s">
        <v>61</v>
      </c>
      <c r="C23" t="s">
        <v>51</v>
      </c>
      <c r="D23" t="s">
        <v>66</v>
      </c>
      <c r="I23">
        <f t="shared" si="0"/>
        <v>0</v>
      </c>
      <c r="J23">
        <f t="shared" si="1"/>
        <v>0</v>
      </c>
    </row>
    <row r="24" spans="1:10" x14ac:dyDescent="0.2">
      <c r="A24" t="s">
        <v>47</v>
      </c>
      <c r="B24" t="s">
        <v>61</v>
      </c>
      <c r="C24" t="s">
        <v>51</v>
      </c>
      <c r="D24" t="s">
        <v>65</v>
      </c>
      <c r="F24">
        <v>3.8</v>
      </c>
      <c r="I24">
        <f t="shared" si="0"/>
        <v>0</v>
      </c>
      <c r="J24">
        <f t="shared" si="1"/>
        <v>3.8</v>
      </c>
    </row>
    <row r="25" spans="1:10" x14ac:dyDescent="0.2">
      <c r="A25" t="s">
        <v>47</v>
      </c>
      <c r="B25" t="s">
        <v>61</v>
      </c>
      <c r="C25" t="s">
        <v>51</v>
      </c>
      <c r="D25" t="s">
        <v>64</v>
      </c>
      <c r="I25">
        <f t="shared" ref="I25:I46" si="2">SUM(E25,G25)</f>
        <v>0</v>
      </c>
    </row>
    <row r="26" spans="1:10" x14ac:dyDescent="0.2">
      <c r="A26" t="s">
        <v>47</v>
      </c>
      <c r="B26" t="s">
        <v>61</v>
      </c>
      <c r="C26" t="s">
        <v>62</v>
      </c>
      <c r="D26" t="s">
        <v>63</v>
      </c>
      <c r="I26">
        <f t="shared" si="2"/>
        <v>0</v>
      </c>
      <c r="J26">
        <f>SUM(F25,H26)</f>
        <v>0</v>
      </c>
    </row>
    <row r="27" spans="1:10" x14ac:dyDescent="0.2">
      <c r="A27" t="s">
        <v>47</v>
      </c>
      <c r="B27" t="s">
        <v>70</v>
      </c>
      <c r="C27" t="s">
        <v>92</v>
      </c>
      <c r="D27" t="s">
        <v>93</v>
      </c>
      <c r="I27">
        <f t="shared" si="2"/>
        <v>0</v>
      </c>
      <c r="J27">
        <f t="shared" ref="J27:J40" si="3">SUM(F27,H27)</f>
        <v>0</v>
      </c>
    </row>
    <row r="28" spans="1:10" x14ac:dyDescent="0.2">
      <c r="A28" t="s">
        <v>47</v>
      </c>
      <c r="B28" t="s">
        <v>70</v>
      </c>
      <c r="C28" t="s">
        <v>72</v>
      </c>
      <c r="D28" t="s">
        <v>91</v>
      </c>
      <c r="I28">
        <f t="shared" si="2"/>
        <v>0</v>
      </c>
      <c r="J28">
        <f t="shared" si="3"/>
        <v>0</v>
      </c>
    </row>
    <row r="29" spans="1:10" x14ac:dyDescent="0.2">
      <c r="A29" t="s">
        <v>47</v>
      </c>
      <c r="B29" t="s">
        <v>70</v>
      </c>
      <c r="C29" t="s">
        <v>72</v>
      </c>
      <c r="D29" t="s">
        <v>90</v>
      </c>
      <c r="I29">
        <f t="shared" si="2"/>
        <v>0</v>
      </c>
      <c r="J29">
        <f t="shared" si="3"/>
        <v>0</v>
      </c>
    </row>
    <row r="30" spans="1:10" x14ac:dyDescent="0.2">
      <c r="A30" t="s">
        <v>47</v>
      </c>
      <c r="B30" t="s">
        <v>70</v>
      </c>
      <c r="C30" t="s">
        <v>72</v>
      </c>
      <c r="D30" t="s">
        <v>89</v>
      </c>
      <c r="I30">
        <f t="shared" si="2"/>
        <v>0</v>
      </c>
      <c r="J30">
        <f t="shared" si="3"/>
        <v>0</v>
      </c>
    </row>
    <row r="31" spans="1:10" x14ac:dyDescent="0.2">
      <c r="A31" t="s">
        <v>47</v>
      </c>
      <c r="B31" t="s">
        <v>70</v>
      </c>
      <c r="C31" t="s">
        <v>72</v>
      </c>
      <c r="D31" t="s">
        <v>88</v>
      </c>
      <c r="I31">
        <f t="shared" si="2"/>
        <v>0</v>
      </c>
      <c r="J31">
        <f t="shared" si="3"/>
        <v>0</v>
      </c>
    </row>
    <row r="32" spans="1:10" x14ac:dyDescent="0.2">
      <c r="A32" t="s">
        <v>47</v>
      </c>
      <c r="B32" t="s">
        <v>70</v>
      </c>
      <c r="C32" t="s">
        <v>80</v>
      </c>
      <c r="D32" t="s">
        <v>87</v>
      </c>
      <c r="I32">
        <f t="shared" si="2"/>
        <v>0</v>
      </c>
      <c r="J32">
        <f t="shared" si="3"/>
        <v>0</v>
      </c>
    </row>
    <row r="33" spans="1:10" x14ac:dyDescent="0.2">
      <c r="A33" t="s">
        <v>47</v>
      </c>
      <c r="B33" t="s">
        <v>70</v>
      </c>
      <c r="C33" t="s">
        <v>72</v>
      </c>
      <c r="D33" t="s">
        <v>86</v>
      </c>
      <c r="I33">
        <f t="shared" si="2"/>
        <v>0</v>
      </c>
      <c r="J33">
        <f t="shared" si="3"/>
        <v>0</v>
      </c>
    </row>
    <row r="34" spans="1:10" x14ac:dyDescent="0.2">
      <c r="A34" t="s">
        <v>47</v>
      </c>
      <c r="B34" t="s">
        <v>70</v>
      </c>
      <c r="C34" t="s">
        <v>72</v>
      </c>
      <c r="D34" t="s">
        <v>85</v>
      </c>
      <c r="I34">
        <f t="shared" si="2"/>
        <v>0</v>
      </c>
      <c r="J34">
        <f t="shared" si="3"/>
        <v>0</v>
      </c>
    </row>
    <row r="35" spans="1:10" x14ac:dyDescent="0.2">
      <c r="A35" t="s">
        <v>47</v>
      </c>
      <c r="B35" t="s">
        <v>70</v>
      </c>
      <c r="C35" t="s">
        <v>72</v>
      </c>
      <c r="D35" t="s">
        <v>84</v>
      </c>
      <c r="I35">
        <f t="shared" si="2"/>
        <v>0</v>
      </c>
      <c r="J35">
        <f t="shared" si="3"/>
        <v>0</v>
      </c>
    </row>
    <row r="36" spans="1:10" x14ac:dyDescent="0.2">
      <c r="A36" t="s">
        <v>47</v>
      </c>
      <c r="B36" t="s">
        <v>70</v>
      </c>
      <c r="C36" t="s">
        <v>82</v>
      </c>
      <c r="D36" t="s">
        <v>83</v>
      </c>
      <c r="I36">
        <f t="shared" si="2"/>
        <v>0</v>
      </c>
      <c r="J36">
        <f t="shared" si="3"/>
        <v>0</v>
      </c>
    </row>
    <row r="37" spans="1:10" x14ac:dyDescent="0.2">
      <c r="A37" t="s">
        <v>47</v>
      </c>
      <c r="B37" t="s">
        <v>70</v>
      </c>
      <c r="C37" t="s">
        <v>80</v>
      </c>
      <c r="D37" t="s">
        <v>81</v>
      </c>
      <c r="I37">
        <f t="shared" si="2"/>
        <v>0</v>
      </c>
      <c r="J37">
        <f t="shared" si="3"/>
        <v>0</v>
      </c>
    </row>
    <row r="38" spans="1:10" x14ac:dyDescent="0.2">
      <c r="A38" t="s">
        <v>47</v>
      </c>
      <c r="B38" t="s">
        <v>70</v>
      </c>
      <c r="C38" t="s">
        <v>72</v>
      </c>
      <c r="D38" t="s">
        <v>79</v>
      </c>
      <c r="I38">
        <f t="shared" si="2"/>
        <v>0</v>
      </c>
      <c r="J38">
        <f t="shared" si="3"/>
        <v>0</v>
      </c>
    </row>
    <row r="39" spans="1:10" x14ac:dyDescent="0.2">
      <c r="A39" t="s">
        <v>47</v>
      </c>
      <c r="B39" t="s">
        <v>70</v>
      </c>
      <c r="C39" t="s">
        <v>72</v>
      </c>
      <c r="D39" t="s">
        <v>78</v>
      </c>
      <c r="I39">
        <f t="shared" si="2"/>
        <v>0</v>
      </c>
      <c r="J39">
        <f t="shared" si="3"/>
        <v>0</v>
      </c>
    </row>
    <row r="40" spans="1:10" x14ac:dyDescent="0.2">
      <c r="A40" t="s">
        <v>47</v>
      </c>
      <c r="B40" t="s">
        <v>70</v>
      </c>
      <c r="C40" t="s">
        <v>72</v>
      </c>
      <c r="D40" t="s">
        <v>77</v>
      </c>
      <c r="I40">
        <f t="shared" si="2"/>
        <v>0</v>
      </c>
      <c r="J40">
        <f t="shared" si="3"/>
        <v>0</v>
      </c>
    </row>
    <row r="41" spans="1:10" x14ac:dyDescent="0.2">
      <c r="A41" t="s">
        <v>47</v>
      </c>
      <c r="B41" t="s">
        <v>70</v>
      </c>
      <c r="C41" t="s">
        <v>72</v>
      </c>
      <c r="D41" t="s">
        <v>76</v>
      </c>
      <c r="I41">
        <f t="shared" si="2"/>
        <v>0</v>
      </c>
      <c r="J41">
        <f>SUM(F41,H42)</f>
        <v>0</v>
      </c>
    </row>
    <row r="42" spans="1:10" x14ac:dyDescent="0.2">
      <c r="A42" t="s">
        <v>47</v>
      </c>
      <c r="B42" t="s">
        <v>70</v>
      </c>
      <c r="C42" t="s">
        <v>72</v>
      </c>
      <c r="D42" t="s">
        <v>75</v>
      </c>
      <c r="I42">
        <f t="shared" si="2"/>
        <v>0</v>
      </c>
      <c r="J42" t="e">
        <f>SUM(F42,#REF!)</f>
        <v>#REF!</v>
      </c>
    </row>
    <row r="43" spans="1:10" x14ac:dyDescent="0.2">
      <c r="A43" t="s">
        <v>47</v>
      </c>
      <c r="B43" t="s">
        <v>70</v>
      </c>
      <c r="C43" t="s">
        <v>72</v>
      </c>
      <c r="D43" t="s">
        <v>74</v>
      </c>
      <c r="H43">
        <v>3.6</v>
      </c>
      <c r="I43">
        <f t="shared" si="2"/>
        <v>0</v>
      </c>
      <c r="J43">
        <f>SUM(F43,H43)</f>
        <v>3.6</v>
      </c>
    </row>
    <row r="44" spans="1:10" x14ac:dyDescent="0.2">
      <c r="A44" t="s">
        <v>47</v>
      </c>
      <c r="B44" t="s">
        <v>70</v>
      </c>
      <c r="C44" t="s">
        <v>72</v>
      </c>
      <c r="D44" t="s">
        <v>73</v>
      </c>
      <c r="I44">
        <f t="shared" si="2"/>
        <v>0</v>
      </c>
      <c r="J44">
        <f>SUM(F44,H44)</f>
        <v>0</v>
      </c>
    </row>
    <row r="45" spans="1:10" x14ac:dyDescent="0.2">
      <c r="A45" t="s">
        <v>47</v>
      </c>
      <c r="B45" t="s">
        <v>70</v>
      </c>
      <c r="C45" t="s">
        <v>53</v>
      </c>
      <c r="D45" t="s">
        <v>71</v>
      </c>
      <c r="I45">
        <f t="shared" si="2"/>
        <v>0</v>
      </c>
      <c r="J45">
        <f>SUM(F45,H45)</f>
        <v>0</v>
      </c>
    </row>
    <row r="46" spans="1:10" x14ac:dyDescent="0.2">
      <c r="A46" t="s">
        <v>94</v>
      </c>
      <c r="B46" t="s">
        <v>95</v>
      </c>
      <c r="C46" t="s">
        <v>112</v>
      </c>
      <c r="D46" t="s">
        <v>113</v>
      </c>
      <c r="I46">
        <f t="shared" si="2"/>
        <v>0</v>
      </c>
      <c r="J46">
        <f>SUM(F46,H46)</f>
        <v>0</v>
      </c>
    </row>
    <row r="47" spans="1:10" x14ac:dyDescent="0.2">
      <c r="A47" t="s">
        <v>94</v>
      </c>
      <c r="B47" t="s">
        <v>95</v>
      </c>
      <c r="C47" t="s">
        <v>107</v>
      </c>
      <c r="D47" t="s">
        <v>111</v>
      </c>
    </row>
    <row r="48" spans="1:10" x14ac:dyDescent="0.2">
      <c r="A48" t="s">
        <v>94</v>
      </c>
      <c r="B48" t="s">
        <v>95</v>
      </c>
      <c r="C48" t="s">
        <v>109</v>
      </c>
      <c r="D48" t="s">
        <v>110</v>
      </c>
      <c r="I48">
        <f>SUM(E48,G48)</f>
        <v>0</v>
      </c>
      <c r="J48">
        <f>SUM(F48,H48)</f>
        <v>0</v>
      </c>
    </row>
    <row r="49" spans="1:10" x14ac:dyDescent="0.2">
      <c r="A49" t="s">
        <v>94</v>
      </c>
      <c r="B49" t="s">
        <v>95</v>
      </c>
      <c r="C49" t="s">
        <v>107</v>
      </c>
      <c r="D49" t="s">
        <v>108</v>
      </c>
      <c r="H49">
        <v>0.2</v>
      </c>
    </row>
    <row r="50" spans="1:10" x14ac:dyDescent="0.2">
      <c r="A50" t="s">
        <v>94</v>
      </c>
      <c r="B50" t="s">
        <v>95</v>
      </c>
      <c r="C50" t="s">
        <v>102</v>
      </c>
      <c r="D50" t="s">
        <v>106</v>
      </c>
    </row>
    <row r="51" spans="1:10" x14ac:dyDescent="0.2">
      <c r="A51" t="s">
        <v>94</v>
      </c>
      <c r="B51" t="s">
        <v>95</v>
      </c>
      <c r="C51" t="s">
        <v>102</v>
      </c>
      <c r="D51" t="s">
        <v>550</v>
      </c>
    </row>
    <row r="52" spans="1:10" x14ac:dyDescent="0.2">
      <c r="A52" t="s">
        <v>94</v>
      </c>
      <c r="B52" t="s">
        <v>95</v>
      </c>
      <c r="C52" t="s">
        <v>104</v>
      </c>
      <c r="D52" t="s">
        <v>105</v>
      </c>
      <c r="I52">
        <f t="shared" ref="I52:I98" si="4">SUM(E52,G52)</f>
        <v>0</v>
      </c>
      <c r="J52">
        <f t="shared" ref="J52:J98" si="5">SUM(F52,H52)</f>
        <v>0</v>
      </c>
    </row>
    <row r="53" spans="1:10" x14ac:dyDescent="0.2">
      <c r="A53" t="s">
        <v>94</v>
      </c>
      <c r="B53" t="s">
        <v>95</v>
      </c>
      <c r="C53" t="s">
        <v>100</v>
      </c>
      <c r="D53" t="s">
        <v>101</v>
      </c>
      <c r="I53">
        <f t="shared" si="4"/>
        <v>0</v>
      </c>
      <c r="J53">
        <f t="shared" si="5"/>
        <v>0</v>
      </c>
    </row>
    <row r="54" spans="1:10" x14ac:dyDescent="0.2">
      <c r="A54" t="s">
        <v>94</v>
      </c>
      <c r="B54" t="s">
        <v>95</v>
      </c>
      <c r="C54" t="s">
        <v>98</v>
      </c>
      <c r="D54" t="s">
        <v>99</v>
      </c>
      <c r="I54">
        <f t="shared" si="4"/>
        <v>0</v>
      </c>
      <c r="J54">
        <f t="shared" si="5"/>
        <v>0</v>
      </c>
    </row>
    <row r="55" spans="1:10" x14ac:dyDescent="0.2">
      <c r="A55" t="s">
        <v>94</v>
      </c>
      <c r="B55" t="s">
        <v>95</v>
      </c>
      <c r="C55" t="s">
        <v>96</v>
      </c>
      <c r="D55" t="s">
        <v>97</v>
      </c>
      <c r="I55">
        <f t="shared" si="4"/>
        <v>0</v>
      </c>
      <c r="J55">
        <f t="shared" si="5"/>
        <v>0</v>
      </c>
    </row>
    <row r="56" spans="1:10" x14ac:dyDescent="0.2">
      <c r="A56" t="s">
        <v>94</v>
      </c>
      <c r="B56" t="s">
        <v>40</v>
      </c>
      <c r="C56" t="s">
        <v>114</v>
      </c>
      <c r="D56" t="s">
        <v>115</v>
      </c>
      <c r="I56">
        <f t="shared" si="4"/>
        <v>0</v>
      </c>
      <c r="J56">
        <f t="shared" si="5"/>
        <v>0</v>
      </c>
    </row>
    <row r="57" spans="1:10" x14ac:dyDescent="0.2">
      <c r="A57" t="s">
        <v>94</v>
      </c>
      <c r="B57" t="s">
        <v>116</v>
      </c>
      <c r="C57" t="s">
        <v>109</v>
      </c>
      <c r="D57" t="s">
        <v>117</v>
      </c>
      <c r="I57">
        <f t="shared" si="4"/>
        <v>0</v>
      </c>
      <c r="J57">
        <f t="shared" si="5"/>
        <v>0</v>
      </c>
    </row>
    <row r="58" spans="1:10" x14ac:dyDescent="0.2">
      <c r="A58" t="s">
        <v>94</v>
      </c>
      <c r="B58" t="s">
        <v>118</v>
      </c>
      <c r="C58" t="s">
        <v>119</v>
      </c>
      <c r="D58" t="s">
        <v>120</v>
      </c>
      <c r="H58">
        <v>12</v>
      </c>
      <c r="I58">
        <f t="shared" si="4"/>
        <v>0</v>
      </c>
      <c r="J58">
        <f t="shared" si="5"/>
        <v>12</v>
      </c>
    </row>
    <row r="59" spans="1:10" x14ac:dyDescent="0.2">
      <c r="A59" t="s">
        <v>121</v>
      </c>
      <c r="B59" t="s">
        <v>122</v>
      </c>
      <c r="C59" t="s">
        <v>135</v>
      </c>
      <c r="D59" t="s">
        <v>136</v>
      </c>
      <c r="H59">
        <v>0</v>
      </c>
      <c r="I59">
        <f t="shared" si="4"/>
        <v>0</v>
      </c>
      <c r="J59">
        <f t="shared" si="5"/>
        <v>0</v>
      </c>
    </row>
    <row r="60" spans="1:10" x14ac:dyDescent="0.2">
      <c r="A60" t="s">
        <v>121</v>
      </c>
      <c r="B60" t="s">
        <v>122</v>
      </c>
      <c r="C60" t="s">
        <v>133</v>
      </c>
      <c r="D60" t="s">
        <v>134</v>
      </c>
      <c r="I60">
        <f t="shared" si="4"/>
        <v>0</v>
      </c>
      <c r="J60">
        <f t="shared" si="5"/>
        <v>0</v>
      </c>
    </row>
    <row r="61" spans="1:10" x14ac:dyDescent="0.2">
      <c r="A61" t="s">
        <v>121</v>
      </c>
      <c r="B61" t="s">
        <v>122</v>
      </c>
      <c r="C61" t="s">
        <v>131</v>
      </c>
      <c r="D61" t="s">
        <v>132</v>
      </c>
      <c r="H61">
        <v>15</v>
      </c>
      <c r="I61">
        <f t="shared" si="4"/>
        <v>0</v>
      </c>
      <c r="J61">
        <f t="shared" si="5"/>
        <v>15</v>
      </c>
    </row>
    <row r="62" spans="1:10" x14ac:dyDescent="0.2">
      <c r="A62" t="s">
        <v>121</v>
      </c>
      <c r="B62" t="s">
        <v>122</v>
      </c>
      <c r="C62" t="s">
        <v>129</v>
      </c>
      <c r="D62" t="s">
        <v>130</v>
      </c>
      <c r="H62">
        <v>9</v>
      </c>
      <c r="I62">
        <f t="shared" si="4"/>
        <v>0</v>
      </c>
      <c r="J62">
        <f t="shared" si="5"/>
        <v>9</v>
      </c>
    </row>
    <row r="63" spans="1:10" x14ac:dyDescent="0.2">
      <c r="A63" t="s">
        <v>121</v>
      </c>
      <c r="B63" t="s">
        <v>122</v>
      </c>
      <c r="C63" t="s">
        <v>127</v>
      </c>
      <c r="D63" t="s">
        <v>128</v>
      </c>
      <c r="H63">
        <v>38</v>
      </c>
      <c r="I63">
        <f t="shared" si="4"/>
        <v>0</v>
      </c>
      <c r="J63">
        <f t="shared" si="5"/>
        <v>38</v>
      </c>
    </row>
    <row r="64" spans="1:10" x14ac:dyDescent="0.2">
      <c r="A64" t="s">
        <v>121</v>
      </c>
      <c r="B64" t="s">
        <v>122</v>
      </c>
      <c r="C64" t="s">
        <v>551</v>
      </c>
      <c r="D64" t="s">
        <v>128</v>
      </c>
      <c r="I64">
        <f t="shared" si="4"/>
        <v>0</v>
      </c>
      <c r="J64">
        <f t="shared" si="5"/>
        <v>0</v>
      </c>
    </row>
    <row r="65" spans="1:10" x14ac:dyDescent="0.2">
      <c r="A65" t="s">
        <v>121</v>
      </c>
      <c r="B65" t="s">
        <v>122</v>
      </c>
      <c r="C65" t="s">
        <v>125</v>
      </c>
      <c r="D65" t="s">
        <v>126</v>
      </c>
      <c r="H65">
        <v>11</v>
      </c>
      <c r="I65">
        <f t="shared" si="4"/>
        <v>0</v>
      </c>
      <c r="J65">
        <f t="shared" si="5"/>
        <v>11</v>
      </c>
    </row>
    <row r="66" spans="1:10" x14ac:dyDescent="0.2">
      <c r="A66" t="s">
        <v>121</v>
      </c>
      <c r="B66" t="s">
        <v>122</v>
      </c>
      <c r="C66" t="s">
        <v>123</v>
      </c>
      <c r="D66" t="s">
        <v>124</v>
      </c>
      <c r="I66">
        <f t="shared" si="4"/>
        <v>0</v>
      </c>
      <c r="J66">
        <f t="shared" si="5"/>
        <v>0</v>
      </c>
    </row>
    <row r="67" spans="1:10" x14ac:dyDescent="0.2">
      <c r="A67" t="s">
        <v>121</v>
      </c>
      <c r="B67" t="s">
        <v>137</v>
      </c>
      <c r="C67" t="s">
        <v>140</v>
      </c>
      <c r="D67" t="s">
        <v>141</v>
      </c>
      <c r="H67">
        <v>0</v>
      </c>
      <c r="I67">
        <f t="shared" si="4"/>
        <v>0</v>
      </c>
      <c r="J67">
        <f t="shared" si="5"/>
        <v>0</v>
      </c>
    </row>
    <row r="68" spans="1:10" x14ac:dyDescent="0.2">
      <c r="A68" t="s">
        <v>121</v>
      </c>
      <c r="B68" t="s">
        <v>137</v>
      </c>
      <c r="C68" t="s">
        <v>138</v>
      </c>
      <c r="D68" t="s">
        <v>139</v>
      </c>
      <c r="H68">
        <v>0</v>
      </c>
      <c r="I68">
        <f t="shared" si="4"/>
        <v>0</v>
      </c>
      <c r="J68">
        <f t="shared" si="5"/>
        <v>0</v>
      </c>
    </row>
    <row r="69" spans="1:10" x14ac:dyDescent="0.2">
      <c r="A69" t="s">
        <v>142</v>
      </c>
      <c r="B69" t="s">
        <v>143</v>
      </c>
      <c r="C69" t="s">
        <v>144</v>
      </c>
      <c r="D69" t="s">
        <v>146</v>
      </c>
      <c r="I69">
        <f t="shared" si="4"/>
        <v>0</v>
      </c>
      <c r="J69">
        <f t="shared" si="5"/>
        <v>0</v>
      </c>
    </row>
    <row r="70" spans="1:10" x14ac:dyDescent="0.2">
      <c r="A70" t="s">
        <v>142</v>
      </c>
      <c r="B70" t="s">
        <v>143</v>
      </c>
      <c r="C70" t="s">
        <v>144</v>
      </c>
      <c r="D70" t="s">
        <v>145</v>
      </c>
      <c r="I70">
        <f t="shared" si="4"/>
        <v>0</v>
      </c>
      <c r="J70">
        <f t="shared" si="5"/>
        <v>0</v>
      </c>
    </row>
    <row r="71" spans="1:10" x14ac:dyDescent="0.2">
      <c r="A71" t="s">
        <v>142</v>
      </c>
      <c r="B71" t="s">
        <v>147</v>
      </c>
      <c r="C71" t="s">
        <v>150</v>
      </c>
      <c r="D71" t="s">
        <v>152</v>
      </c>
      <c r="I71">
        <f t="shared" si="4"/>
        <v>0</v>
      </c>
      <c r="J71">
        <f t="shared" si="5"/>
        <v>0</v>
      </c>
    </row>
    <row r="72" spans="1:10" x14ac:dyDescent="0.2">
      <c r="A72" t="s">
        <v>142</v>
      </c>
      <c r="B72" t="s">
        <v>147</v>
      </c>
      <c r="C72" t="s">
        <v>150</v>
      </c>
      <c r="D72" t="s">
        <v>151</v>
      </c>
      <c r="I72">
        <f t="shared" si="4"/>
        <v>0</v>
      </c>
      <c r="J72">
        <f t="shared" si="5"/>
        <v>0</v>
      </c>
    </row>
    <row r="73" spans="1:10" x14ac:dyDescent="0.2">
      <c r="A73" t="s">
        <v>142</v>
      </c>
      <c r="B73" t="s">
        <v>147</v>
      </c>
      <c r="C73" t="s">
        <v>148</v>
      </c>
      <c r="D73" t="s">
        <v>149</v>
      </c>
      <c r="I73">
        <f t="shared" si="4"/>
        <v>0</v>
      </c>
      <c r="J73">
        <f t="shared" si="5"/>
        <v>0</v>
      </c>
    </row>
    <row r="74" spans="1:10" x14ac:dyDescent="0.2">
      <c r="A74" t="s">
        <v>142</v>
      </c>
      <c r="B74" t="s">
        <v>153</v>
      </c>
      <c r="C74" t="s">
        <v>154</v>
      </c>
      <c r="D74" t="s">
        <v>155</v>
      </c>
      <c r="I74">
        <f t="shared" si="4"/>
        <v>0</v>
      </c>
      <c r="J74">
        <f t="shared" si="5"/>
        <v>0</v>
      </c>
    </row>
    <row r="75" spans="1:10" x14ac:dyDescent="0.2">
      <c r="A75" t="s">
        <v>142</v>
      </c>
      <c r="B75" t="s">
        <v>156</v>
      </c>
      <c r="C75" t="s">
        <v>161</v>
      </c>
      <c r="D75" t="s">
        <v>173</v>
      </c>
      <c r="I75">
        <f t="shared" si="4"/>
        <v>0</v>
      </c>
      <c r="J75">
        <f t="shared" si="5"/>
        <v>0</v>
      </c>
    </row>
    <row r="76" spans="1:10" x14ac:dyDescent="0.2">
      <c r="A76" t="s">
        <v>142</v>
      </c>
      <c r="B76" t="s">
        <v>156</v>
      </c>
      <c r="C76" t="s">
        <v>168</v>
      </c>
      <c r="D76" t="s">
        <v>172</v>
      </c>
      <c r="I76">
        <f t="shared" si="4"/>
        <v>0</v>
      </c>
      <c r="J76">
        <f t="shared" si="5"/>
        <v>0</v>
      </c>
    </row>
    <row r="77" spans="1:10" x14ac:dyDescent="0.2">
      <c r="A77" t="s">
        <v>142</v>
      </c>
      <c r="B77" t="s">
        <v>156</v>
      </c>
      <c r="C77" t="s">
        <v>170</v>
      </c>
      <c r="D77" t="s">
        <v>171</v>
      </c>
      <c r="I77">
        <f t="shared" si="4"/>
        <v>0</v>
      </c>
      <c r="J77">
        <f t="shared" si="5"/>
        <v>0</v>
      </c>
    </row>
    <row r="78" spans="1:10" x14ac:dyDescent="0.2">
      <c r="A78" t="s">
        <v>142</v>
      </c>
      <c r="B78" t="s">
        <v>156</v>
      </c>
      <c r="C78" t="s">
        <v>168</v>
      </c>
      <c r="D78" t="s">
        <v>169</v>
      </c>
      <c r="I78">
        <f t="shared" si="4"/>
        <v>0</v>
      </c>
      <c r="J78">
        <f t="shared" si="5"/>
        <v>0</v>
      </c>
    </row>
    <row r="79" spans="1:10" x14ac:dyDescent="0.2">
      <c r="A79" t="s">
        <v>142</v>
      </c>
      <c r="B79" t="s">
        <v>156</v>
      </c>
      <c r="C79" t="s">
        <v>157</v>
      </c>
      <c r="D79" t="s">
        <v>167</v>
      </c>
      <c r="I79">
        <f t="shared" si="4"/>
        <v>0</v>
      </c>
      <c r="J79">
        <f t="shared" si="5"/>
        <v>0</v>
      </c>
    </row>
    <row r="80" spans="1:10" x14ac:dyDescent="0.2">
      <c r="A80" t="s">
        <v>142</v>
      </c>
      <c r="B80" t="s">
        <v>156</v>
      </c>
      <c r="C80" t="s">
        <v>157</v>
      </c>
      <c r="D80" t="s">
        <v>166</v>
      </c>
      <c r="I80">
        <f t="shared" si="4"/>
        <v>0</v>
      </c>
      <c r="J80">
        <f t="shared" si="5"/>
        <v>0</v>
      </c>
    </row>
    <row r="81" spans="1:10" x14ac:dyDescent="0.2">
      <c r="A81" t="s">
        <v>142</v>
      </c>
      <c r="B81" t="s">
        <v>156</v>
      </c>
      <c r="C81" t="s">
        <v>157</v>
      </c>
      <c r="D81" t="s">
        <v>165</v>
      </c>
      <c r="I81">
        <f t="shared" si="4"/>
        <v>0</v>
      </c>
      <c r="J81">
        <f t="shared" si="5"/>
        <v>0</v>
      </c>
    </row>
    <row r="82" spans="1:10" x14ac:dyDescent="0.2">
      <c r="A82" t="s">
        <v>142</v>
      </c>
      <c r="B82" t="s">
        <v>156</v>
      </c>
      <c r="C82" t="s">
        <v>157</v>
      </c>
      <c r="D82" t="s">
        <v>164</v>
      </c>
      <c r="I82">
        <f t="shared" si="4"/>
        <v>0</v>
      </c>
      <c r="J82">
        <f t="shared" si="5"/>
        <v>0</v>
      </c>
    </row>
    <row r="83" spans="1:10" x14ac:dyDescent="0.2">
      <c r="A83" t="s">
        <v>142</v>
      </c>
      <c r="B83" t="s">
        <v>156</v>
      </c>
      <c r="C83" t="s">
        <v>157</v>
      </c>
      <c r="D83" t="s">
        <v>163</v>
      </c>
      <c r="I83">
        <f t="shared" si="4"/>
        <v>0</v>
      </c>
      <c r="J83">
        <f t="shared" si="5"/>
        <v>0</v>
      </c>
    </row>
    <row r="84" spans="1:10" x14ac:dyDescent="0.2">
      <c r="A84" t="s">
        <v>142</v>
      </c>
      <c r="B84" t="s">
        <v>156</v>
      </c>
      <c r="C84" t="s">
        <v>161</v>
      </c>
      <c r="D84" t="s">
        <v>162</v>
      </c>
      <c r="I84">
        <f t="shared" si="4"/>
        <v>0</v>
      </c>
      <c r="J84">
        <f t="shared" si="5"/>
        <v>0</v>
      </c>
    </row>
    <row r="85" spans="1:10" x14ac:dyDescent="0.2">
      <c r="A85" t="s">
        <v>142</v>
      </c>
      <c r="B85" t="s">
        <v>156</v>
      </c>
      <c r="C85" t="s">
        <v>159</v>
      </c>
      <c r="D85" t="s">
        <v>160</v>
      </c>
      <c r="I85">
        <f t="shared" si="4"/>
        <v>0</v>
      </c>
      <c r="J85">
        <f t="shared" si="5"/>
        <v>0</v>
      </c>
    </row>
    <row r="86" spans="1:10" x14ac:dyDescent="0.2">
      <c r="A86" t="s">
        <v>142</v>
      </c>
      <c r="B86" t="s">
        <v>156</v>
      </c>
      <c r="C86" t="s">
        <v>157</v>
      </c>
      <c r="D86" t="s">
        <v>158</v>
      </c>
      <c r="I86">
        <f t="shared" si="4"/>
        <v>0</v>
      </c>
      <c r="J86">
        <f t="shared" si="5"/>
        <v>0</v>
      </c>
    </row>
    <row r="87" spans="1:10" x14ac:dyDescent="0.2">
      <c r="A87" t="s">
        <v>142</v>
      </c>
      <c r="B87" t="s">
        <v>156</v>
      </c>
      <c r="C87" t="s">
        <v>159</v>
      </c>
      <c r="D87" t="s">
        <v>552</v>
      </c>
      <c r="I87">
        <f t="shared" si="4"/>
        <v>0</v>
      </c>
      <c r="J87">
        <f t="shared" si="5"/>
        <v>0</v>
      </c>
    </row>
    <row r="88" spans="1:10" x14ac:dyDescent="0.2">
      <c r="A88" t="s">
        <v>174</v>
      </c>
      <c r="B88" t="s">
        <v>175</v>
      </c>
      <c r="C88" t="s">
        <v>56</v>
      </c>
      <c r="D88" t="s">
        <v>176</v>
      </c>
      <c r="I88">
        <f t="shared" si="4"/>
        <v>0</v>
      </c>
      <c r="J88">
        <f t="shared" si="5"/>
        <v>0</v>
      </c>
    </row>
    <row r="89" spans="1:10" x14ac:dyDescent="0.2">
      <c r="A89" t="s">
        <v>174</v>
      </c>
      <c r="B89" t="s">
        <v>177</v>
      </c>
      <c r="C89" t="s">
        <v>178</v>
      </c>
      <c r="D89" t="s">
        <v>179</v>
      </c>
      <c r="F89">
        <v>11</v>
      </c>
      <c r="H89">
        <v>8</v>
      </c>
      <c r="I89">
        <f t="shared" si="4"/>
        <v>0</v>
      </c>
      <c r="J89">
        <f t="shared" si="5"/>
        <v>19</v>
      </c>
    </row>
    <row r="90" spans="1:10" x14ac:dyDescent="0.2">
      <c r="A90" t="s">
        <v>180</v>
      </c>
      <c r="B90" t="s">
        <v>181</v>
      </c>
      <c r="C90" t="s">
        <v>182</v>
      </c>
      <c r="D90" t="s">
        <v>186</v>
      </c>
      <c r="I90">
        <f t="shared" si="4"/>
        <v>0</v>
      </c>
      <c r="J90">
        <f t="shared" si="5"/>
        <v>0</v>
      </c>
    </row>
    <row r="91" spans="1:10" x14ac:dyDescent="0.2">
      <c r="A91" t="s">
        <v>180</v>
      </c>
      <c r="B91" t="s">
        <v>181</v>
      </c>
      <c r="C91" t="s">
        <v>184</v>
      </c>
      <c r="D91" t="s">
        <v>185</v>
      </c>
      <c r="I91">
        <f t="shared" si="4"/>
        <v>0</v>
      </c>
      <c r="J91">
        <f t="shared" si="5"/>
        <v>0</v>
      </c>
    </row>
    <row r="92" spans="1:10" x14ac:dyDescent="0.2">
      <c r="A92" t="s">
        <v>180</v>
      </c>
      <c r="B92" t="s">
        <v>181</v>
      </c>
      <c r="C92" t="s">
        <v>182</v>
      </c>
      <c r="D92" t="s">
        <v>183</v>
      </c>
      <c r="I92">
        <f t="shared" si="4"/>
        <v>0</v>
      </c>
      <c r="J92">
        <f t="shared" si="5"/>
        <v>0</v>
      </c>
    </row>
    <row r="93" spans="1:10" x14ac:dyDescent="0.2">
      <c r="A93" t="s">
        <v>180</v>
      </c>
      <c r="B93" t="s">
        <v>187</v>
      </c>
      <c r="C93" t="s">
        <v>51</v>
      </c>
      <c r="D93" t="s">
        <v>553</v>
      </c>
      <c r="I93">
        <f t="shared" si="4"/>
        <v>0</v>
      </c>
      <c r="J93">
        <f t="shared" si="5"/>
        <v>0</v>
      </c>
    </row>
    <row r="94" spans="1:10" x14ac:dyDescent="0.2">
      <c r="A94" t="s">
        <v>180</v>
      </c>
      <c r="B94" t="s">
        <v>187</v>
      </c>
      <c r="C94" t="s">
        <v>51</v>
      </c>
      <c r="D94" t="s">
        <v>192</v>
      </c>
      <c r="I94">
        <f t="shared" si="4"/>
        <v>0</v>
      </c>
      <c r="J94">
        <f t="shared" si="5"/>
        <v>0</v>
      </c>
    </row>
    <row r="95" spans="1:10" x14ac:dyDescent="0.2">
      <c r="A95" t="s">
        <v>180</v>
      </c>
      <c r="B95" t="s">
        <v>187</v>
      </c>
      <c r="C95" t="s">
        <v>190</v>
      </c>
      <c r="D95" t="s">
        <v>191</v>
      </c>
      <c r="I95">
        <f t="shared" si="4"/>
        <v>0</v>
      </c>
      <c r="J95">
        <f t="shared" si="5"/>
        <v>0</v>
      </c>
    </row>
    <row r="96" spans="1:10" x14ac:dyDescent="0.2">
      <c r="A96" t="s">
        <v>180</v>
      </c>
      <c r="B96" t="s">
        <v>187</v>
      </c>
      <c r="C96" t="s">
        <v>188</v>
      </c>
      <c r="D96" t="s">
        <v>189</v>
      </c>
      <c r="I96">
        <f t="shared" si="4"/>
        <v>0</v>
      </c>
      <c r="J96">
        <f t="shared" si="5"/>
        <v>0</v>
      </c>
    </row>
    <row r="97" spans="1:10" x14ac:dyDescent="0.2">
      <c r="A97" t="s">
        <v>193</v>
      </c>
      <c r="B97" t="s">
        <v>194</v>
      </c>
      <c r="C97" t="s">
        <v>195</v>
      </c>
      <c r="D97" t="s">
        <v>196</v>
      </c>
      <c r="F97">
        <v>13</v>
      </c>
      <c r="H97">
        <v>48</v>
      </c>
      <c r="I97">
        <f t="shared" si="4"/>
        <v>0</v>
      </c>
      <c r="J97">
        <f t="shared" si="5"/>
        <v>61</v>
      </c>
    </row>
    <row r="98" spans="1:10" x14ac:dyDescent="0.2">
      <c r="A98" t="s">
        <v>193</v>
      </c>
      <c r="B98" t="s">
        <v>194</v>
      </c>
      <c r="C98" t="s">
        <v>197</v>
      </c>
      <c r="D98" t="s">
        <v>198</v>
      </c>
      <c r="I98">
        <f t="shared" si="4"/>
        <v>0</v>
      </c>
      <c r="J98">
        <f t="shared" si="5"/>
        <v>0</v>
      </c>
    </row>
    <row r="99" spans="1:10" x14ac:dyDescent="0.2">
      <c r="A99" t="s">
        <v>193</v>
      </c>
      <c r="B99" t="s">
        <v>194</v>
      </c>
      <c r="C99" t="s">
        <v>197</v>
      </c>
      <c r="D99" t="s">
        <v>203</v>
      </c>
    </row>
    <row r="100" spans="1:10" x14ac:dyDescent="0.2">
      <c r="A100" t="s">
        <v>193</v>
      </c>
      <c r="B100" t="s">
        <v>194</v>
      </c>
      <c r="C100" t="s">
        <v>25</v>
      </c>
      <c r="D100" t="s">
        <v>199</v>
      </c>
      <c r="I100">
        <f t="shared" ref="I100:J106" si="6">SUM(E100,G100)</f>
        <v>0</v>
      </c>
      <c r="J100">
        <f t="shared" si="6"/>
        <v>0</v>
      </c>
    </row>
    <row r="101" spans="1:10" x14ac:dyDescent="0.2">
      <c r="A101" t="s">
        <v>193</v>
      </c>
      <c r="B101" t="s">
        <v>194</v>
      </c>
      <c r="C101" t="s">
        <v>195</v>
      </c>
      <c r="D101" t="s">
        <v>200</v>
      </c>
      <c r="F101">
        <v>12</v>
      </c>
      <c r="I101">
        <f t="shared" si="6"/>
        <v>0</v>
      </c>
      <c r="J101">
        <f t="shared" si="6"/>
        <v>12</v>
      </c>
    </row>
    <row r="102" spans="1:10" x14ac:dyDescent="0.2">
      <c r="A102" t="s">
        <v>193</v>
      </c>
      <c r="B102" t="s">
        <v>194</v>
      </c>
      <c r="C102" t="s">
        <v>25</v>
      </c>
      <c r="D102" t="s">
        <v>201</v>
      </c>
      <c r="I102">
        <f t="shared" si="6"/>
        <v>0</v>
      </c>
      <c r="J102">
        <f t="shared" si="6"/>
        <v>0</v>
      </c>
    </row>
    <row r="103" spans="1:10" x14ac:dyDescent="0.2">
      <c r="A103" t="s">
        <v>193</v>
      </c>
      <c r="B103" t="s">
        <v>194</v>
      </c>
      <c r="C103" t="s">
        <v>197</v>
      </c>
      <c r="D103" t="s">
        <v>202</v>
      </c>
      <c r="I103">
        <f t="shared" si="6"/>
        <v>0</v>
      </c>
      <c r="J103">
        <f t="shared" si="6"/>
        <v>0</v>
      </c>
    </row>
    <row r="104" spans="1:10" x14ac:dyDescent="0.2">
      <c r="A104" t="s">
        <v>193</v>
      </c>
      <c r="B104" t="s">
        <v>194</v>
      </c>
      <c r="C104" t="s">
        <v>204</v>
      </c>
      <c r="D104" t="s">
        <v>205</v>
      </c>
      <c r="H104">
        <v>10</v>
      </c>
      <c r="I104">
        <f t="shared" si="6"/>
        <v>0</v>
      </c>
      <c r="J104">
        <f t="shared" si="6"/>
        <v>10</v>
      </c>
    </row>
    <row r="105" spans="1:10" x14ac:dyDescent="0.2">
      <c r="A105" t="s">
        <v>193</v>
      </c>
      <c r="B105" t="s">
        <v>194</v>
      </c>
      <c r="C105" t="s">
        <v>195</v>
      </c>
      <c r="D105" t="s">
        <v>206</v>
      </c>
      <c r="I105">
        <f t="shared" si="6"/>
        <v>0</v>
      </c>
      <c r="J105">
        <f t="shared" si="6"/>
        <v>0</v>
      </c>
    </row>
    <row r="106" spans="1:10" x14ac:dyDescent="0.2">
      <c r="A106" t="s">
        <v>193</v>
      </c>
      <c r="B106" t="s">
        <v>194</v>
      </c>
      <c r="C106" t="s">
        <v>195</v>
      </c>
      <c r="D106" t="s">
        <v>207</v>
      </c>
      <c r="F106">
        <v>15</v>
      </c>
      <c r="H106">
        <v>7</v>
      </c>
      <c r="I106">
        <f t="shared" si="6"/>
        <v>0</v>
      </c>
      <c r="J106">
        <f t="shared" si="6"/>
        <v>22</v>
      </c>
    </row>
    <row r="107" spans="1:10" x14ac:dyDescent="0.2">
      <c r="A107" t="s">
        <v>193</v>
      </c>
      <c r="B107" t="s">
        <v>194</v>
      </c>
      <c r="C107" t="s">
        <v>195</v>
      </c>
      <c r="D107" t="s">
        <v>208</v>
      </c>
      <c r="F107">
        <v>12</v>
      </c>
      <c r="H107">
        <v>81</v>
      </c>
      <c r="I107">
        <f t="shared" ref="I107:I121" si="7">SUM(E107,G107)</f>
        <v>0</v>
      </c>
      <c r="J107">
        <v>0</v>
      </c>
    </row>
    <row r="108" spans="1:10" x14ac:dyDescent="0.2">
      <c r="A108" t="s">
        <v>193</v>
      </c>
      <c r="B108" t="s">
        <v>194</v>
      </c>
      <c r="C108" t="s">
        <v>195</v>
      </c>
      <c r="D108" t="s">
        <v>209</v>
      </c>
      <c r="F108">
        <v>10</v>
      </c>
      <c r="H108">
        <v>144</v>
      </c>
      <c r="I108">
        <f t="shared" si="7"/>
        <v>0</v>
      </c>
      <c r="J108">
        <f t="shared" ref="J108:J121" si="8">SUM(F108,H108)</f>
        <v>154</v>
      </c>
    </row>
    <row r="109" spans="1:10" x14ac:dyDescent="0.2">
      <c r="A109" t="s">
        <v>193</v>
      </c>
      <c r="B109" t="s">
        <v>194</v>
      </c>
      <c r="C109" t="s">
        <v>204</v>
      </c>
      <c r="D109" t="s">
        <v>210</v>
      </c>
      <c r="I109">
        <f t="shared" si="7"/>
        <v>0</v>
      </c>
      <c r="J109">
        <f t="shared" si="8"/>
        <v>0</v>
      </c>
    </row>
    <row r="110" spans="1:10" x14ac:dyDescent="0.2">
      <c r="A110" t="s">
        <v>193</v>
      </c>
      <c r="B110" t="s">
        <v>194</v>
      </c>
      <c r="C110" t="s">
        <v>195</v>
      </c>
      <c r="D110" t="s">
        <v>211</v>
      </c>
      <c r="F110">
        <v>9</v>
      </c>
      <c r="H110">
        <v>120</v>
      </c>
      <c r="I110">
        <f t="shared" si="7"/>
        <v>0</v>
      </c>
      <c r="J110">
        <f t="shared" si="8"/>
        <v>129</v>
      </c>
    </row>
    <row r="111" spans="1:10" x14ac:dyDescent="0.2">
      <c r="A111" t="s">
        <v>193</v>
      </c>
      <c r="B111" t="s">
        <v>194</v>
      </c>
      <c r="C111" t="s">
        <v>195</v>
      </c>
      <c r="D111" t="s">
        <v>212</v>
      </c>
      <c r="F111">
        <v>16</v>
      </c>
      <c r="H111">
        <v>38</v>
      </c>
      <c r="I111">
        <f t="shared" si="7"/>
        <v>0</v>
      </c>
      <c r="J111">
        <f t="shared" si="8"/>
        <v>54</v>
      </c>
    </row>
    <row r="112" spans="1:10" x14ac:dyDescent="0.2">
      <c r="A112" t="s">
        <v>193</v>
      </c>
      <c r="B112" t="s">
        <v>194</v>
      </c>
      <c r="C112" t="s">
        <v>195</v>
      </c>
      <c r="D112" t="s">
        <v>213</v>
      </c>
      <c r="I112">
        <f t="shared" si="7"/>
        <v>0</v>
      </c>
      <c r="J112">
        <f t="shared" si="8"/>
        <v>0</v>
      </c>
    </row>
    <row r="113" spans="1:10" x14ac:dyDescent="0.2">
      <c r="A113" t="s">
        <v>193</v>
      </c>
      <c r="B113" t="s">
        <v>194</v>
      </c>
      <c r="C113" t="s">
        <v>214</v>
      </c>
      <c r="D113" t="s">
        <v>215</v>
      </c>
      <c r="F113">
        <v>14</v>
      </c>
      <c r="H113">
        <v>76</v>
      </c>
      <c r="I113">
        <f t="shared" si="7"/>
        <v>0</v>
      </c>
      <c r="J113">
        <f t="shared" si="8"/>
        <v>90</v>
      </c>
    </row>
    <row r="114" spans="1:10" x14ac:dyDescent="0.2">
      <c r="A114" t="s">
        <v>193</v>
      </c>
      <c r="B114" t="s">
        <v>194</v>
      </c>
      <c r="C114" t="s">
        <v>204</v>
      </c>
      <c r="D114" t="s">
        <v>216</v>
      </c>
      <c r="H114">
        <v>24</v>
      </c>
      <c r="I114">
        <f t="shared" si="7"/>
        <v>0</v>
      </c>
      <c r="J114">
        <f t="shared" si="8"/>
        <v>24</v>
      </c>
    </row>
    <row r="115" spans="1:10" x14ac:dyDescent="0.2">
      <c r="A115" t="s">
        <v>193</v>
      </c>
      <c r="B115" t="s">
        <v>194</v>
      </c>
      <c r="C115" t="s">
        <v>204</v>
      </c>
      <c r="D115" t="s">
        <v>217</v>
      </c>
      <c r="F115">
        <v>2</v>
      </c>
      <c r="H115">
        <v>36</v>
      </c>
      <c r="I115">
        <f t="shared" si="7"/>
        <v>0</v>
      </c>
      <c r="J115">
        <f t="shared" si="8"/>
        <v>38</v>
      </c>
    </row>
    <row r="116" spans="1:10" x14ac:dyDescent="0.2">
      <c r="A116" t="s">
        <v>193</v>
      </c>
      <c r="B116" t="s">
        <v>194</v>
      </c>
      <c r="C116" t="s">
        <v>195</v>
      </c>
      <c r="D116" t="s">
        <v>220</v>
      </c>
      <c r="I116">
        <f t="shared" si="7"/>
        <v>0</v>
      </c>
      <c r="J116">
        <f t="shared" si="8"/>
        <v>0</v>
      </c>
    </row>
    <row r="117" spans="1:10" x14ac:dyDescent="0.2">
      <c r="A117" t="s">
        <v>193</v>
      </c>
      <c r="B117" t="s">
        <v>194</v>
      </c>
      <c r="C117" t="s">
        <v>195</v>
      </c>
      <c r="D117" t="s">
        <v>221</v>
      </c>
      <c r="F117">
        <v>10</v>
      </c>
      <c r="H117">
        <v>98</v>
      </c>
      <c r="I117">
        <f t="shared" si="7"/>
        <v>0</v>
      </c>
      <c r="J117">
        <f t="shared" si="8"/>
        <v>108</v>
      </c>
    </row>
    <row r="118" spans="1:10" x14ac:dyDescent="0.2">
      <c r="A118" t="s">
        <v>193</v>
      </c>
      <c r="B118" t="s">
        <v>194</v>
      </c>
      <c r="C118" t="s">
        <v>195</v>
      </c>
      <c r="D118" t="s">
        <v>554</v>
      </c>
      <c r="I118">
        <f t="shared" si="7"/>
        <v>0</v>
      </c>
      <c r="J118">
        <f t="shared" si="8"/>
        <v>0</v>
      </c>
    </row>
    <row r="119" spans="1:10" x14ac:dyDescent="0.2">
      <c r="A119" t="s">
        <v>193</v>
      </c>
      <c r="B119" t="s">
        <v>194</v>
      </c>
      <c r="C119" t="s">
        <v>25</v>
      </c>
      <c r="D119" t="s">
        <v>224</v>
      </c>
      <c r="I119">
        <f t="shared" si="7"/>
        <v>0</v>
      </c>
      <c r="J119">
        <f t="shared" si="8"/>
        <v>0</v>
      </c>
    </row>
    <row r="120" spans="1:10" x14ac:dyDescent="0.2">
      <c r="A120" t="s">
        <v>193</v>
      </c>
      <c r="B120" t="s">
        <v>194</v>
      </c>
      <c r="C120" t="s">
        <v>197</v>
      </c>
      <c r="D120" t="s">
        <v>225</v>
      </c>
      <c r="I120">
        <f t="shared" si="7"/>
        <v>0</v>
      </c>
      <c r="J120">
        <f t="shared" si="8"/>
        <v>0</v>
      </c>
    </row>
    <row r="121" spans="1:10" x14ac:dyDescent="0.2">
      <c r="A121" t="s">
        <v>193</v>
      </c>
      <c r="B121" t="s">
        <v>194</v>
      </c>
      <c r="C121" t="s">
        <v>197</v>
      </c>
      <c r="D121" t="s">
        <v>226</v>
      </c>
      <c r="I121">
        <f t="shared" si="7"/>
        <v>0</v>
      </c>
      <c r="J121">
        <f t="shared" si="8"/>
        <v>0</v>
      </c>
    </row>
    <row r="122" spans="1:10" x14ac:dyDescent="0.2">
      <c r="A122" t="s">
        <v>193</v>
      </c>
      <c r="B122" t="s">
        <v>194</v>
      </c>
      <c r="C122" t="s">
        <v>222</v>
      </c>
      <c r="D122" t="s">
        <v>223</v>
      </c>
      <c r="H122">
        <v>100</v>
      </c>
    </row>
    <row r="123" spans="1:10" x14ac:dyDescent="0.2">
      <c r="A123" t="s">
        <v>193</v>
      </c>
      <c r="B123" t="s">
        <v>48</v>
      </c>
      <c r="C123" t="s">
        <v>51</v>
      </c>
      <c r="D123" t="s">
        <v>227</v>
      </c>
      <c r="I123">
        <f t="shared" ref="I123:I154" si="9">SUM(E123,G123)</f>
        <v>0</v>
      </c>
      <c r="J123">
        <f t="shared" ref="J123:J154" si="10">SUM(F123,H123)</f>
        <v>0</v>
      </c>
    </row>
    <row r="124" spans="1:10" x14ac:dyDescent="0.2">
      <c r="A124" t="s">
        <v>193</v>
      </c>
      <c r="B124" t="s">
        <v>228</v>
      </c>
      <c r="C124" t="s">
        <v>56</v>
      </c>
      <c r="D124" t="s">
        <v>229</v>
      </c>
      <c r="I124">
        <f t="shared" si="9"/>
        <v>0</v>
      </c>
      <c r="J124">
        <f t="shared" si="10"/>
        <v>0</v>
      </c>
    </row>
    <row r="125" spans="1:10" x14ac:dyDescent="0.2">
      <c r="A125" t="s">
        <v>193</v>
      </c>
      <c r="B125" t="s">
        <v>230</v>
      </c>
      <c r="C125" t="s">
        <v>231</v>
      </c>
      <c r="D125" t="s">
        <v>232</v>
      </c>
      <c r="I125">
        <f t="shared" si="9"/>
        <v>0</v>
      </c>
      <c r="J125">
        <f t="shared" si="10"/>
        <v>0</v>
      </c>
    </row>
    <row r="126" spans="1:10" x14ac:dyDescent="0.2">
      <c r="A126" t="s">
        <v>193</v>
      </c>
      <c r="B126" t="s">
        <v>233</v>
      </c>
      <c r="C126" t="s">
        <v>231</v>
      </c>
      <c r="D126" t="s">
        <v>234</v>
      </c>
      <c r="I126">
        <f t="shared" si="9"/>
        <v>0</v>
      </c>
      <c r="J126">
        <f t="shared" si="10"/>
        <v>0</v>
      </c>
    </row>
    <row r="127" spans="1:10" x14ac:dyDescent="0.2">
      <c r="A127" t="s">
        <v>193</v>
      </c>
      <c r="B127" t="s">
        <v>233</v>
      </c>
      <c r="C127" t="s">
        <v>190</v>
      </c>
      <c r="D127" t="s">
        <v>235</v>
      </c>
      <c r="I127">
        <f t="shared" si="9"/>
        <v>0</v>
      </c>
      <c r="J127">
        <f t="shared" si="10"/>
        <v>0</v>
      </c>
    </row>
    <row r="128" spans="1:10" x14ac:dyDescent="0.2">
      <c r="A128" t="s">
        <v>193</v>
      </c>
      <c r="B128" t="s">
        <v>233</v>
      </c>
      <c r="C128" t="s">
        <v>190</v>
      </c>
      <c r="D128" t="s">
        <v>236</v>
      </c>
      <c r="F128">
        <v>1.5</v>
      </c>
      <c r="I128">
        <f t="shared" si="9"/>
        <v>0</v>
      </c>
      <c r="J128">
        <f t="shared" si="10"/>
        <v>1.5</v>
      </c>
    </row>
    <row r="129" spans="1:10" x14ac:dyDescent="0.2">
      <c r="A129" t="s">
        <v>193</v>
      </c>
      <c r="B129" t="s">
        <v>233</v>
      </c>
      <c r="C129" t="s">
        <v>190</v>
      </c>
      <c r="D129" t="s">
        <v>237</v>
      </c>
      <c r="I129">
        <f t="shared" si="9"/>
        <v>0</v>
      </c>
      <c r="J129">
        <f t="shared" si="10"/>
        <v>0</v>
      </c>
    </row>
    <row r="130" spans="1:10" x14ac:dyDescent="0.2">
      <c r="A130" t="s">
        <v>193</v>
      </c>
      <c r="B130" t="s">
        <v>233</v>
      </c>
      <c r="C130" t="s">
        <v>190</v>
      </c>
      <c r="D130" t="s">
        <v>238</v>
      </c>
      <c r="I130">
        <f t="shared" si="9"/>
        <v>0</v>
      </c>
      <c r="J130">
        <f t="shared" si="10"/>
        <v>0</v>
      </c>
    </row>
    <row r="131" spans="1:10" x14ac:dyDescent="0.2">
      <c r="A131" t="s">
        <v>193</v>
      </c>
      <c r="B131" t="s">
        <v>233</v>
      </c>
      <c r="C131" t="s">
        <v>190</v>
      </c>
      <c r="D131" t="s">
        <v>555</v>
      </c>
      <c r="F131">
        <v>0.5</v>
      </c>
      <c r="I131">
        <f t="shared" si="9"/>
        <v>0</v>
      </c>
      <c r="J131">
        <f t="shared" si="10"/>
        <v>0.5</v>
      </c>
    </row>
    <row r="132" spans="1:10" x14ac:dyDescent="0.2">
      <c r="A132" t="s">
        <v>193</v>
      </c>
      <c r="B132" t="s">
        <v>233</v>
      </c>
      <c r="C132" t="s">
        <v>240</v>
      </c>
      <c r="D132" t="s">
        <v>556</v>
      </c>
      <c r="I132">
        <f t="shared" si="9"/>
        <v>0</v>
      </c>
      <c r="J132">
        <f t="shared" si="10"/>
        <v>0</v>
      </c>
    </row>
    <row r="133" spans="1:10" x14ac:dyDescent="0.2">
      <c r="A133" t="s">
        <v>193</v>
      </c>
      <c r="B133" t="s">
        <v>233</v>
      </c>
      <c r="C133" t="s">
        <v>190</v>
      </c>
      <c r="D133" t="s">
        <v>242</v>
      </c>
      <c r="I133">
        <f t="shared" si="9"/>
        <v>0</v>
      </c>
      <c r="J133">
        <f t="shared" si="10"/>
        <v>0</v>
      </c>
    </row>
    <row r="134" spans="1:10" x14ac:dyDescent="0.2">
      <c r="A134" t="s">
        <v>193</v>
      </c>
      <c r="B134" t="s">
        <v>233</v>
      </c>
      <c r="C134" t="s">
        <v>67</v>
      </c>
      <c r="D134" t="s">
        <v>243</v>
      </c>
      <c r="I134">
        <f t="shared" si="9"/>
        <v>0</v>
      </c>
      <c r="J134">
        <f t="shared" si="10"/>
        <v>0</v>
      </c>
    </row>
    <row r="135" spans="1:10" x14ac:dyDescent="0.2">
      <c r="A135" t="s">
        <v>193</v>
      </c>
      <c r="B135" t="s">
        <v>233</v>
      </c>
      <c r="C135" t="s">
        <v>67</v>
      </c>
      <c r="D135" t="s">
        <v>244</v>
      </c>
      <c r="I135">
        <f t="shared" si="9"/>
        <v>0</v>
      </c>
      <c r="J135">
        <f t="shared" si="10"/>
        <v>0</v>
      </c>
    </row>
    <row r="136" spans="1:10" x14ac:dyDescent="0.2">
      <c r="A136" t="s">
        <v>193</v>
      </c>
      <c r="B136" t="s">
        <v>233</v>
      </c>
      <c r="C136" t="s">
        <v>245</v>
      </c>
      <c r="D136" t="s">
        <v>557</v>
      </c>
      <c r="I136">
        <f t="shared" si="9"/>
        <v>0</v>
      </c>
      <c r="J136">
        <f t="shared" si="10"/>
        <v>0</v>
      </c>
    </row>
    <row r="137" spans="1:10" x14ac:dyDescent="0.2">
      <c r="A137" t="s">
        <v>193</v>
      </c>
      <c r="B137" t="s">
        <v>233</v>
      </c>
      <c r="C137" t="s">
        <v>247</v>
      </c>
      <c r="D137" t="s">
        <v>248</v>
      </c>
      <c r="I137">
        <f t="shared" si="9"/>
        <v>0</v>
      </c>
      <c r="J137">
        <f t="shared" si="10"/>
        <v>0</v>
      </c>
    </row>
    <row r="138" spans="1:10" x14ac:dyDescent="0.2">
      <c r="A138" t="s">
        <v>193</v>
      </c>
      <c r="B138" t="s">
        <v>233</v>
      </c>
      <c r="C138" t="s">
        <v>249</v>
      </c>
      <c r="D138" t="s">
        <v>250</v>
      </c>
      <c r="F138">
        <v>15</v>
      </c>
      <c r="I138">
        <f t="shared" si="9"/>
        <v>0</v>
      </c>
      <c r="J138">
        <f t="shared" si="10"/>
        <v>15</v>
      </c>
    </row>
    <row r="139" spans="1:10" x14ac:dyDescent="0.2">
      <c r="A139" t="s">
        <v>193</v>
      </c>
      <c r="B139" t="s">
        <v>175</v>
      </c>
      <c r="C139" t="s">
        <v>190</v>
      </c>
      <c r="D139" t="s">
        <v>251</v>
      </c>
      <c r="I139">
        <f t="shared" si="9"/>
        <v>0</v>
      </c>
      <c r="J139">
        <f t="shared" si="10"/>
        <v>0</v>
      </c>
    </row>
    <row r="140" spans="1:10" x14ac:dyDescent="0.2">
      <c r="A140" t="s">
        <v>193</v>
      </c>
      <c r="B140" t="s">
        <v>175</v>
      </c>
      <c r="C140" t="s">
        <v>252</v>
      </c>
      <c r="D140" t="s">
        <v>253</v>
      </c>
      <c r="F140">
        <v>6</v>
      </c>
      <c r="I140">
        <f t="shared" si="9"/>
        <v>0</v>
      </c>
      <c r="J140">
        <f t="shared" si="10"/>
        <v>6</v>
      </c>
    </row>
    <row r="141" spans="1:10" x14ac:dyDescent="0.2">
      <c r="A141" t="s">
        <v>193</v>
      </c>
      <c r="B141" t="s">
        <v>175</v>
      </c>
      <c r="C141" t="s">
        <v>252</v>
      </c>
      <c r="D141" t="s">
        <v>254</v>
      </c>
      <c r="F141">
        <v>6</v>
      </c>
      <c r="I141">
        <f t="shared" si="9"/>
        <v>0</v>
      </c>
      <c r="J141">
        <f t="shared" si="10"/>
        <v>6</v>
      </c>
    </row>
    <row r="142" spans="1:10" x14ac:dyDescent="0.2">
      <c r="A142" t="s">
        <v>193</v>
      </c>
      <c r="B142" t="s">
        <v>175</v>
      </c>
      <c r="C142" t="s">
        <v>249</v>
      </c>
      <c r="D142" t="s">
        <v>255</v>
      </c>
      <c r="F142">
        <v>7</v>
      </c>
      <c r="I142">
        <f t="shared" si="9"/>
        <v>0</v>
      </c>
      <c r="J142">
        <f t="shared" si="10"/>
        <v>7</v>
      </c>
    </row>
    <row r="143" spans="1:10" x14ac:dyDescent="0.2">
      <c r="A143" t="s">
        <v>193</v>
      </c>
      <c r="B143" t="s">
        <v>558</v>
      </c>
      <c r="C143" t="s">
        <v>195</v>
      </c>
      <c r="D143" t="s">
        <v>559</v>
      </c>
      <c r="I143">
        <f t="shared" si="9"/>
        <v>0</v>
      </c>
      <c r="J143">
        <f t="shared" si="10"/>
        <v>0</v>
      </c>
    </row>
    <row r="144" spans="1:10" x14ac:dyDescent="0.2">
      <c r="A144" t="s">
        <v>193</v>
      </c>
      <c r="B144" t="s">
        <v>256</v>
      </c>
      <c r="C144" t="s">
        <v>257</v>
      </c>
      <c r="D144" t="s">
        <v>258</v>
      </c>
      <c r="I144">
        <f t="shared" si="9"/>
        <v>0</v>
      </c>
      <c r="J144">
        <f t="shared" si="10"/>
        <v>0</v>
      </c>
    </row>
    <row r="145" spans="1:10" x14ac:dyDescent="0.2">
      <c r="A145" t="s">
        <v>193</v>
      </c>
      <c r="B145" t="s">
        <v>256</v>
      </c>
      <c r="C145" t="s">
        <v>259</v>
      </c>
      <c r="D145" t="s">
        <v>260</v>
      </c>
      <c r="I145">
        <f t="shared" si="9"/>
        <v>0</v>
      </c>
      <c r="J145">
        <f t="shared" si="10"/>
        <v>0</v>
      </c>
    </row>
    <row r="146" spans="1:10" x14ac:dyDescent="0.2">
      <c r="A146" t="s">
        <v>193</v>
      </c>
      <c r="B146" t="s">
        <v>261</v>
      </c>
      <c r="C146" t="s">
        <v>262</v>
      </c>
      <c r="D146" t="s">
        <v>263</v>
      </c>
      <c r="I146">
        <f t="shared" si="9"/>
        <v>0</v>
      </c>
      <c r="J146">
        <f t="shared" si="10"/>
        <v>0</v>
      </c>
    </row>
    <row r="147" spans="1:10" x14ac:dyDescent="0.2">
      <c r="A147" t="s">
        <v>193</v>
      </c>
      <c r="B147" t="s">
        <v>261</v>
      </c>
      <c r="C147" t="s">
        <v>25</v>
      </c>
      <c r="D147" t="s">
        <v>264</v>
      </c>
      <c r="I147">
        <f t="shared" si="9"/>
        <v>0</v>
      </c>
      <c r="J147">
        <f t="shared" si="10"/>
        <v>0</v>
      </c>
    </row>
    <row r="148" spans="1:10" x14ac:dyDescent="0.2">
      <c r="A148" t="s">
        <v>193</v>
      </c>
      <c r="B148" t="s">
        <v>261</v>
      </c>
      <c r="C148" t="s">
        <v>262</v>
      </c>
      <c r="D148" t="s">
        <v>265</v>
      </c>
      <c r="I148">
        <f t="shared" si="9"/>
        <v>0</v>
      </c>
      <c r="J148">
        <f t="shared" si="10"/>
        <v>0</v>
      </c>
    </row>
    <row r="149" spans="1:10" x14ac:dyDescent="0.2">
      <c r="A149" t="s">
        <v>193</v>
      </c>
      <c r="B149" t="s">
        <v>261</v>
      </c>
      <c r="C149" t="s">
        <v>25</v>
      </c>
      <c r="D149" t="s">
        <v>266</v>
      </c>
      <c r="I149">
        <f t="shared" si="9"/>
        <v>0</v>
      </c>
      <c r="J149">
        <f t="shared" si="10"/>
        <v>0</v>
      </c>
    </row>
    <row r="150" spans="1:10" x14ac:dyDescent="0.2">
      <c r="A150" t="s">
        <v>267</v>
      </c>
      <c r="B150" t="s">
        <v>274</v>
      </c>
      <c r="C150" t="s">
        <v>275</v>
      </c>
      <c r="D150" t="s">
        <v>276</v>
      </c>
      <c r="I150">
        <f t="shared" si="9"/>
        <v>0</v>
      </c>
      <c r="J150">
        <f t="shared" si="10"/>
        <v>0</v>
      </c>
    </row>
    <row r="151" spans="1:10" x14ac:dyDescent="0.2">
      <c r="A151" t="s">
        <v>267</v>
      </c>
      <c r="B151" t="s">
        <v>274</v>
      </c>
      <c r="C151" t="s">
        <v>379</v>
      </c>
      <c r="D151" t="s">
        <v>380</v>
      </c>
      <c r="I151">
        <f t="shared" si="9"/>
        <v>0</v>
      </c>
      <c r="J151">
        <f t="shared" si="10"/>
        <v>0</v>
      </c>
    </row>
    <row r="152" spans="1:10" x14ac:dyDescent="0.2">
      <c r="A152" t="s">
        <v>267</v>
      </c>
      <c r="B152" t="s">
        <v>289</v>
      </c>
      <c r="C152" t="s">
        <v>72</v>
      </c>
      <c r="D152" t="s">
        <v>290</v>
      </c>
      <c r="I152">
        <f t="shared" si="9"/>
        <v>0</v>
      </c>
      <c r="J152">
        <f t="shared" si="10"/>
        <v>0</v>
      </c>
    </row>
    <row r="153" spans="1:10" x14ac:dyDescent="0.2">
      <c r="A153" t="s">
        <v>267</v>
      </c>
      <c r="B153" t="s">
        <v>289</v>
      </c>
      <c r="C153" t="s">
        <v>72</v>
      </c>
      <c r="D153" t="s">
        <v>291</v>
      </c>
      <c r="I153">
        <f t="shared" si="9"/>
        <v>0</v>
      </c>
      <c r="J153">
        <f t="shared" si="10"/>
        <v>0</v>
      </c>
    </row>
    <row r="154" spans="1:10" x14ac:dyDescent="0.2">
      <c r="A154" t="s">
        <v>267</v>
      </c>
      <c r="B154" t="s">
        <v>289</v>
      </c>
      <c r="C154" t="s">
        <v>72</v>
      </c>
      <c r="D154" t="s">
        <v>346</v>
      </c>
      <c r="I154">
        <f t="shared" si="9"/>
        <v>0</v>
      </c>
      <c r="J154">
        <f t="shared" si="10"/>
        <v>0</v>
      </c>
    </row>
    <row r="155" spans="1:10" x14ac:dyDescent="0.2">
      <c r="A155" t="s">
        <v>267</v>
      </c>
      <c r="B155" t="s">
        <v>289</v>
      </c>
      <c r="C155" t="s">
        <v>72</v>
      </c>
      <c r="D155" t="s">
        <v>355</v>
      </c>
      <c r="I155">
        <f t="shared" ref="I155:I186" si="11">SUM(E155,G155)</f>
        <v>0</v>
      </c>
      <c r="J155">
        <f t="shared" ref="J155:J186" si="12">SUM(F155,H155)</f>
        <v>0</v>
      </c>
    </row>
    <row r="156" spans="1:10" x14ac:dyDescent="0.2">
      <c r="A156" t="s">
        <v>267</v>
      </c>
      <c r="B156" t="s">
        <v>289</v>
      </c>
      <c r="C156" t="s">
        <v>72</v>
      </c>
      <c r="D156" t="s">
        <v>364</v>
      </c>
      <c r="I156">
        <f t="shared" si="11"/>
        <v>0</v>
      </c>
      <c r="J156">
        <f t="shared" si="12"/>
        <v>0</v>
      </c>
    </row>
    <row r="157" spans="1:10" x14ac:dyDescent="0.2">
      <c r="A157" t="s">
        <v>267</v>
      </c>
      <c r="B157" t="s">
        <v>289</v>
      </c>
      <c r="C157" t="s">
        <v>72</v>
      </c>
      <c r="D157" t="s">
        <v>399</v>
      </c>
      <c r="I157">
        <f t="shared" si="11"/>
        <v>0</v>
      </c>
      <c r="J157">
        <f t="shared" si="12"/>
        <v>0</v>
      </c>
    </row>
    <row r="158" spans="1:10" x14ac:dyDescent="0.2">
      <c r="A158" t="s">
        <v>267</v>
      </c>
      <c r="B158" t="s">
        <v>289</v>
      </c>
      <c r="C158" t="s">
        <v>53</v>
      </c>
      <c r="D158" t="s">
        <v>418</v>
      </c>
      <c r="I158">
        <f t="shared" si="11"/>
        <v>0</v>
      </c>
      <c r="J158">
        <f t="shared" si="12"/>
        <v>0</v>
      </c>
    </row>
    <row r="159" spans="1:10" x14ac:dyDescent="0.2">
      <c r="A159" t="s">
        <v>267</v>
      </c>
      <c r="B159" t="s">
        <v>317</v>
      </c>
      <c r="C159" t="s">
        <v>53</v>
      </c>
      <c r="D159" t="s">
        <v>318</v>
      </c>
      <c r="I159">
        <f t="shared" si="11"/>
        <v>0</v>
      </c>
      <c r="J159">
        <f t="shared" si="12"/>
        <v>0</v>
      </c>
    </row>
    <row r="160" spans="1:10" x14ac:dyDescent="0.2">
      <c r="A160" t="s">
        <v>267</v>
      </c>
      <c r="B160" t="s">
        <v>317</v>
      </c>
      <c r="C160" t="s">
        <v>72</v>
      </c>
      <c r="D160" t="s">
        <v>319</v>
      </c>
      <c r="I160">
        <f t="shared" si="11"/>
        <v>0</v>
      </c>
      <c r="J160">
        <f t="shared" si="12"/>
        <v>0</v>
      </c>
    </row>
    <row r="161" spans="1:10" x14ac:dyDescent="0.2">
      <c r="A161" t="s">
        <v>267</v>
      </c>
      <c r="B161" t="s">
        <v>317</v>
      </c>
      <c r="C161" t="s">
        <v>72</v>
      </c>
      <c r="D161" t="s">
        <v>343</v>
      </c>
      <c r="I161">
        <f t="shared" si="11"/>
        <v>0</v>
      </c>
      <c r="J161">
        <f t="shared" si="12"/>
        <v>0</v>
      </c>
    </row>
    <row r="162" spans="1:10" x14ac:dyDescent="0.2">
      <c r="A162" t="s">
        <v>267</v>
      </c>
      <c r="B162" t="s">
        <v>317</v>
      </c>
      <c r="C162" t="s">
        <v>72</v>
      </c>
      <c r="D162" t="s">
        <v>344</v>
      </c>
      <c r="I162">
        <f t="shared" si="11"/>
        <v>0</v>
      </c>
      <c r="J162">
        <f t="shared" si="12"/>
        <v>0</v>
      </c>
    </row>
    <row r="163" spans="1:10" x14ac:dyDescent="0.2">
      <c r="A163" t="s">
        <v>267</v>
      </c>
      <c r="B163" t="s">
        <v>317</v>
      </c>
      <c r="C163" t="s">
        <v>72</v>
      </c>
      <c r="D163" t="s">
        <v>350</v>
      </c>
      <c r="I163">
        <f t="shared" si="11"/>
        <v>0</v>
      </c>
      <c r="J163">
        <f t="shared" si="12"/>
        <v>0</v>
      </c>
    </row>
    <row r="164" spans="1:10" x14ac:dyDescent="0.2">
      <c r="A164" t="s">
        <v>267</v>
      </c>
      <c r="B164" t="s">
        <v>317</v>
      </c>
      <c r="C164" t="s">
        <v>72</v>
      </c>
      <c r="D164" t="s">
        <v>371</v>
      </c>
      <c r="I164">
        <f t="shared" si="11"/>
        <v>0</v>
      </c>
      <c r="J164">
        <f t="shared" si="12"/>
        <v>0</v>
      </c>
    </row>
    <row r="165" spans="1:10" x14ac:dyDescent="0.2">
      <c r="A165" t="s">
        <v>267</v>
      </c>
      <c r="B165" t="s">
        <v>317</v>
      </c>
      <c r="C165" t="s">
        <v>72</v>
      </c>
      <c r="D165" t="s">
        <v>392</v>
      </c>
      <c r="I165">
        <f t="shared" si="11"/>
        <v>0</v>
      </c>
      <c r="J165">
        <f t="shared" si="12"/>
        <v>0</v>
      </c>
    </row>
    <row r="166" spans="1:10" x14ac:dyDescent="0.2">
      <c r="A166" t="s">
        <v>267</v>
      </c>
      <c r="B166" t="s">
        <v>358</v>
      </c>
      <c r="C166" t="s">
        <v>359</v>
      </c>
      <c r="D166" t="s">
        <v>360</v>
      </c>
      <c r="I166">
        <f t="shared" si="11"/>
        <v>0</v>
      </c>
      <c r="J166">
        <f t="shared" si="12"/>
        <v>0</v>
      </c>
    </row>
    <row r="167" spans="1:10" x14ac:dyDescent="0.2">
      <c r="A167" t="s">
        <v>267</v>
      </c>
      <c r="B167" t="s">
        <v>283</v>
      </c>
      <c r="C167" t="s">
        <v>72</v>
      </c>
      <c r="D167" t="s">
        <v>284</v>
      </c>
      <c r="I167">
        <f t="shared" si="11"/>
        <v>0</v>
      </c>
      <c r="J167">
        <f t="shared" si="12"/>
        <v>0</v>
      </c>
    </row>
    <row r="168" spans="1:10" x14ac:dyDescent="0.2">
      <c r="A168" t="s">
        <v>267</v>
      </c>
      <c r="B168" t="s">
        <v>283</v>
      </c>
      <c r="C168" t="s">
        <v>72</v>
      </c>
      <c r="D168" t="s">
        <v>285</v>
      </c>
      <c r="F168">
        <v>1.2</v>
      </c>
      <c r="H168">
        <v>2</v>
      </c>
      <c r="I168">
        <f t="shared" si="11"/>
        <v>0</v>
      </c>
      <c r="J168">
        <f t="shared" si="12"/>
        <v>3.2</v>
      </c>
    </row>
    <row r="169" spans="1:10" x14ac:dyDescent="0.2">
      <c r="A169" t="s">
        <v>267</v>
      </c>
      <c r="B169" t="s">
        <v>283</v>
      </c>
      <c r="C169" t="s">
        <v>72</v>
      </c>
      <c r="D169" t="s">
        <v>288</v>
      </c>
      <c r="I169">
        <f t="shared" si="11"/>
        <v>0</v>
      </c>
      <c r="J169">
        <f t="shared" si="12"/>
        <v>0</v>
      </c>
    </row>
    <row r="170" spans="1:10" x14ac:dyDescent="0.2">
      <c r="A170" t="s">
        <v>267</v>
      </c>
      <c r="B170" t="s">
        <v>283</v>
      </c>
      <c r="C170" t="s">
        <v>72</v>
      </c>
      <c r="D170" t="s">
        <v>310</v>
      </c>
      <c r="I170">
        <f t="shared" si="11"/>
        <v>0</v>
      </c>
      <c r="J170">
        <f t="shared" si="12"/>
        <v>0</v>
      </c>
    </row>
    <row r="171" spans="1:10" x14ac:dyDescent="0.2">
      <c r="A171" t="s">
        <v>267</v>
      </c>
      <c r="B171" t="s">
        <v>283</v>
      </c>
      <c r="C171" t="s">
        <v>72</v>
      </c>
      <c r="D171" t="s">
        <v>341</v>
      </c>
      <c r="I171">
        <f t="shared" si="11"/>
        <v>0</v>
      </c>
      <c r="J171">
        <f t="shared" si="12"/>
        <v>0</v>
      </c>
    </row>
    <row r="172" spans="1:10" x14ac:dyDescent="0.2">
      <c r="A172" t="s">
        <v>267</v>
      </c>
      <c r="B172" t="s">
        <v>283</v>
      </c>
      <c r="C172" t="s">
        <v>53</v>
      </c>
      <c r="D172" t="s">
        <v>342</v>
      </c>
      <c r="I172">
        <f t="shared" si="11"/>
        <v>0</v>
      </c>
      <c r="J172">
        <f t="shared" si="12"/>
        <v>0</v>
      </c>
    </row>
    <row r="173" spans="1:10" x14ac:dyDescent="0.2">
      <c r="A173" t="s">
        <v>267</v>
      </c>
      <c r="B173" t="s">
        <v>283</v>
      </c>
      <c r="C173" t="s">
        <v>72</v>
      </c>
      <c r="D173" t="s">
        <v>365</v>
      </c>
      <c r="I173">
        <f t="shared" si="11"/>
        <v>0</v>
      </c>
      <c r="J173">
        <f t="shared" si="12"/>
        <v>0</v>
      </c>
    </row>
    <row r="174" spans="1:10" x14ac:dyDescent="0.2">
      <c r="A174" t="s">
        <v>267</v>
      </c>
      <c r="B174" t="s">
        <v>283</v>
      </c>
      <c r="C174" t="s">
        <v>72</v>
      </c>
      <c r="D174" t="s">
        <v>366</v>
      </c>
      <c r="I174">
        <f t="shared" si="11"/>
        <v>0</v>
      </c>
      <c r="J174">
        <f t="shared" si="12"/>
        <v>0</v>
      </c>
    </row>
    <row r="175" spans="1:10" x14ac:dyDescent="0.2">
      <c r="A175" t="s">
        <v>267</v>
      </c>
      <c r="B175" t="s">
        <v>283</v>
      </c>
      <c r="C175" t="s">
        <v>72</v>
      </c>
      <c r="D175" t="s">
        <v>367</v>
      </c>
      <c r="F175">
        <v>0.9</v>
      </c>
      <c r="I175">
        <f t="shared" si="11"/>
        <v>0</v>
      </c>
      <c r="J175">
        <f t="shared" si="12"/>
        <v>0.9</v>
      </c>
    </row>
    <row r="176" spans="1:10" x14ac:dyDescent="0.2">
      <c r="A176" t="s">
        <v>267</v>
      </c>
      <c r="B176" t="s">
        <v>283</v>
      </c>
      <c r="C176" t="s">
        <v>72</v>
      </c>
      <c r="D176" t="s">
        <v>368</v>
      </c>
      <c r="I176">
        <f t="shared" si="11"/>
        <v>0</v>
      </c>
      <c r="J176">
        <f t="shared" si="12"/>
        <v>0</v>
      </c>
    </row>
    <row r="177" spans="1:10" x14ac:dyDescent="0.2">
      <c r="A177" t="s">
        <v>267</v>
      </c>
      <c r="B177" t="s">
        <v>283</v>
      </c>
      <c r="C177" t="s">
        <v>53</v>
      </c>
      <c r="D177" t="s">
        <v>372</v>
      </c>
      <c r="I177">
        <f t="shared" si="11"/>
        <v>0</v>
      </c>
      <c r="J177">
        <f t="shared" si="12"/>
        <v>0</v>
      </c>
    </row>
    <row r="178" spans="1:10" x14ac:dyDescent="0.2">
      <c r="A178" t="s">
        <v>267</v>
      </c>
      <c r="B178" t="s">
        <v>283</v>
      </c>
      <c r="C178" t="s">
        <v>72</v>
      </c>
      <c r="D178" t="s">
        <v>375</v>
      </c>
      <c r="I178">
        <f t="shared" si="11"/>
        <v>0</v>
      </c>
      <c r="J178">
        <f t="shared" si="12"/>
        <v>0</v>
      </c>
    </row>
    <row r="179" spans="1:10" x14ac:dyDescent="0.2">
      <c r="A179" t="s">
        <v>267</v>
      </c>
      <c r="B179" t="s">
        <v>283</v>
      </c>
      <c r="C179" t="s">
        <v>376</v>
      </c>
      <c r="D179" t="s">
        <v>377</v>
      </c>
      <c r="I179">
        <f t="shared" si="11"/>
        <v>0</v>
      </c>
      <c r="J179">
        <f t="shared" si="12"/>
        <v>0</v>
      </c>
    </row>
    <row r="180" spans="1:10" x14ac:dyDescent="0.2">
      <c r="A180" t="s">
        <v>267</v>
      </c>
      <c r="B180" t="s">
        <v>283</v>
      </c>
      <c r="C180" t="s">
        <v>72</v>
      </c>
      <c r="D180" t="s">
        <v>382</v>
      </c>
      <c r="I180">
        <f t="shared" si="11"/>
        <v>0</v>
      </c>
      <c r="J180">
        <f t="shared" si="12"/>
        <v>0</v>
      </c>
    </row>
    <row r="181" spans="1:10" x14ac:dyDescent="0.2">
      <c r="A181" t="s">
        <v>267</v>
      </c>
      <c r="B181" t="s">
        <v>283</v>
      </c>
      <c r="C181" t="s">
        <v>53</v>
      </c>
      <c r="D181" t="s">
        <v>390</v>
      </c>
      <c r="I181">
        <f t="shared" si="11"/>
        <v>0</v>
      </c>
      <c r="J181">
        <f t="shared" si="12"/>
        <v>0</v>
      </c>
    </row>
    <row r="182" spans="1:10" x14ac:dyDescent="0.2">
      <c r="A182" t="s">
        <v>267</v>
      </c>
      <c r="B182" t="s">
        <v>283</v>
      </c>
      <c r="C182" t="s">
        <v>293</v>
      </c>
      <c r="D182" t="s">
        <v>391</v>
      </c>
      <c r="F182">
        <v>0.6</v>
      </c>
      <c r="H182">
        <v>1</v>
      </c>
      <c r="I182">
        <f t="shared" si="11"/>
        <v>0</v>
      </c>
      <c r="J182">
        <f t="shared" si="12"/>
        <v>1.6</v>
      </c>
    </row>
    <row r="183" spans="1:10" x14ac:dyDescent="0.2">
      <c r="A183" t="s">
        <v>267</v>
      </c>
      <c r="B183" t="s">
        <v>283</v>
      </c>
      <c r="C183" t="s">
        <v>72</v>
      </c>
      <c r="D183" t="s">
        <v>396</v>
      </c>
      <c r="I183">
        <f t="shared" si="11"/>
        <v>0</v>
      </c>
      <c r="J183">
        <f t="shared" si="12"/>
        <v>0</v>
      </c>
    </row>
    <row r="184" spans="1:10" x14ac:dyDescent="0.2">
      <c r="A184" t="s">
        <v>267</v>
      </c>
      <c r="B184" t="s">
        <v>283</v>
      </c>
      <c r="C184" t="s">
        <v>72</v>
      </c>
      <c r="D184" t="s">
        <v>400</v>
      </c>
      <c r="I184">
        <f t="shared" si="11"/>
        <v>0</v>
      </c>
      <c r="J184">
        <f t="shared" si="12"/>
        <v>0</v>
      </c>
    </row>
    <row r="185" spans="1:10" x14ac:dyDescent="0.2">
      <c r="A185" t="s">
        <v>267</v>
      </c>
      <c r="B185" t="s">
        <v>283</v>
      </c>
      <c r="C185" t="s">
        <v>72</v>
      </c>
      <c r="D185" t="s">
        <v>402</v>
      </c>
      <c r="I185">
        <f t="shared" si="11"/>
        <v>0</v>
      </c>
      <c r="J185">
        <f t="shared" si="12"/>
        <v>0</v>
      </c>
    </row>
    <row r="186" spans="1:10" x14ac:dyDescent="0.2">
      <c r="A186" t="s">
        <v>267</v>
      </c>
      <c r="B186" t="s">
        <v>283</v>
      </c>
      <c r="C186" t="s">
        <v>72</v>
      </c>
      <c r="D186" t="s">
        <v>403</v>
      </c>
      <c r="I186">
        <f t="shared" si="11"/>
        <v>0</v>
      </c>
      <c r="J186">
        <f t="shared" si="12"/>
        <v>0</v>
      </c>
    </row>
    <row r="187" spans="1:10" x14ac:dyDescent="0.2">
      <c r="A187" t="s">
        <v>267</v>
      </c>
      <c r="B187" t="s">
        <v>283</v>
      </c>
      <c r="C187" t="s">
        <v>72</v>
      </c>
      <c r="D187" t="s">
        <v>407</v>
      </c>
      <c r="I187">
        <f t="shared" ref="I187:I193" si="13">SUM(E187,G187)</f>
        <v>0</v>
      </c>
      <c r="J187">
        <f t="shared" ref="J187:J193" si="14">SUM(F187,H187)</f>
        <v>0</v>
      </c>
    </row>
    <row r="188" spans="1:10" x14ac:dyDescent="0.2">
      <c r="A188" t="s">
        <v>267</v>
      </c>
      <c r="B188" t="s">
        <v>283</v>
      </c>
      <c r="C188" t="s">
        <v>53</v>
      </c>
      <c r="D188" t="s">
        <v>408</v>
      </c>
      <c r="I188">
        <f t="shared" si="13"/>
        <v>0</v>
      </c>
      <c r="J188">
        <f t="shared" si="14"/>
        <v>0</v>
      </c>
    </row>
    <row r="189" spans="1:10" x14ac:dyDescent="0.2">
      <c r="A189" t="s">
        <v>267</v>
      </c>
      <c r="B189" t="s">
        <v>283</v>
      </c>
      <c r="C189" t="s">
        <v>53</v>
      </c>
      <c r="D189" t="s">
        <v>409</v>
      </c>
      <c r="I189">
        <f t="shared" si="13"/>
        <v>0</v>
      </c>
      <c r="J189">
        <f t="shared" si="14"/>
        <v>0</v>
      </c>
    </row>
    <row r="190" spans="1:10" x14ac:dyDescent="0.2">
      <c r="A190" t="s">
        <v>267</v>
      </c>
      <c r="B190" t="s">
        <v>283</v>
      </c>
      <c r="C190" t="s">
        <v>369</v>
      </c>
      <c r="D190" t="s">
        <v>410</v>
      </c>
      <c r="I190">
        <f t="shared" si="13"/>
        <v>0</v>
      </c>
      <c r="J190">
        <f t="shared" si="14"/>
        <v>0</v>
      </c>
    </row>
    <row r="191" spans="1:10" x14ac:dyDescent="0.2">
      <c r="A191" t="s">
        <v>267</v>
      </c>
      <c r="B191" t="s">
        <v>283</v>
      </c>
      <c r="C191" t="s">
        <v>67</v>
      </c>
      <c r="D191" t="s">
        <v>411</v>
      </c>
      <c r="I191">
        <f t="shared" si="13"/>
        <v>0</v>
      </c>
      <c r="J191">
        <f t="shared" si="14"/>
        <v>0</v>
      </c>
    </row>
    <row r="192" spans="1:10" x14ac:dyDescent="0.2">
      <c r="A192" t="s">
        <v>267</v>
      </c>
      <c r="B192" t="s">
        <v>283</v>
      </c>
      <c r="C192" t="s">
        <v>299</v>
      </c>
      <c r="D192" t="s">
        <v>412</v>
      </c>
      <c r="I192">
        <f t="shared" si="13"/>
        <v>0</v>
      </c>
      <c r="J192">
        <f t="shared" si="14"/>
        <v>0</v>
      </c>
    </row>
    <row r="193" spans="1:10" x14ac:dyDescent="0.2">
      <c r="A193" t="s">
        <v>267</v>
      </c>
      <c r="B193" t="s">
        <v>283</v>
      </c>
      <c r="C193" t="s">
        <v>72</v>
      </c>
      <c r="D193" t="s">
        <v>417</v>
      </c>
      <c r="I193">
        <f t="shared" si="13"/>
        <v>0</v>
      </c>
      <c r="J193">
        <f t="shared" si="14"/>
        <v>0</v>
      </c>
    </row>
    <row r="194" spans="1:10" x14ac:dyDescent="0.2">
      <c r="B194" t="s">
        <v>348</v>
      </c>
      <c r="C194" t="s">
        <v>293</v>
      </c>
      <c r="D194" t="s">
        <v>294</v>
      </c>
    </row>
    <row r="195" spans="1:10" x14ac:dyDescent="0.2">
      <c r="A195" t="s">
        <v>267</v>
      </c>
      <c r="B195" t="s">
        <v>348</v>
      </c>
      <c r="C195" t="s">
        <v>293</v>
      </c>
      <c r="D195" t="s">
        <v>349</v>
      </c>
      <c r="I195">
        <f t="shared" ref="I195:I226" si="15">SUM(E195,G195)</f>
        <v>0</v>
      </c>
      <c r="J195">
        <f t="shared" ref="J195:J226" si="16">SUM(F195,H195)</f>
        <v>0</v>
      </c>
    </row>
    <row r="196" spans="1:10" x14ac:dyDescent="0.2">
      <c r="A196" t="s">
        <v>267</v>
      </c>
      <c r="B196" t="s">
        <v>177</v>
      </c>
      <c r="C196" t="s">
        <v>72</v>
      </c>
      <c r="D196" t="s">
        <v>273</v>
      </c>
      <c r="I196">
        <f t="shared" si="15"/>
        <v>0</v>
      </c>
      <c r="J196">
        <f t="shared" si="16"/>
        <v>0</v>
      </c>
    </row>
    <row r="197" spans="1:10" x14ac:dyDescent="0.2">
      <c r="A197" t="s">
        <v>267</v>
      </c>
      <c r="B197" t="s">
        <v>177</v>
      </c>
      <c r="C197" t="s">
        <v>53</v>
      </c>
      <c r="D197" t="s">
        <v>277</v>
      </c>
      <c r="F197">
        <v>2</v>
      </c>
      <c r="H197">
        <v>6</v>
      </c>
      <c r="I197">
        <f t="shared" si="15"/>
        <v>0</v>
      </c>
      <c r="J197">
        <f t="shared" si="16"/>
        <v>8</v>
      </c>
    </row>
    <row r="198" spans="1:10" x14ac:dyDescent="0.2">
      <c r="A198" t="s">
        <v>267</v>
      </c>
      <c r="B198" t="s">
        <v>177</v>
      </c>
      <c r="C198" t="s">
        <v>72</v>
      </c>
      <c r="D198" t="s">
        <v>280</v>
      </c>
      <c r="I198">
        <f t="shared" si="15"/>
        <v>0</v>
      </c>
      <c r="J198">
        <f t="shared" si="16"/>
        <v>0</v>
      </c>
    </row>
    <row r="199" spans="1:10" x14ac:dyDescent="0.2">
      <c r="A199" t="s">
        <v>267</v>
      </c>
      <c r="B199" t="s">
        <v>177</v>
      </c>
      <c r="C199" t="s">
        <v>72</v>
      </c>
      <c r="D199" t="s">
        <v>286</v>
      </c>
      <c r="I199">
        <f t="shared" si="15"/>
        <v>0</v>
      </c>
      <c r="J199">
        <f t="shared" si="16"/>
        <v>0</v>
      </c>
    </row>
    <row r="200" spans="1:10" x14ac:dyDescent="0.2">
      <c r="A200" t="s">
        <v>267</v>
      </c>
      <c r="B200" t="s">
        <v>177</v>
      </c>
      <c r="C200" t="s">
        <v>53</v>
      </c>
      <c r="D200" t="s">
        <v>295</v>
      </c>
      <c r="F200">
        <v>1.5</v>
      </c>
      <c r="H200">
        <v>8</v>
      </c>
      <c r="I200">
        <f t="shared" si="15"/>
        <v>0</v>
      </c>
      <c r="J200">
        <f t="shared" si="16"/>
        <v>9.5</v>
      </c>
    </row>
    <row r="201" spans="1:10" x14ac:dyDescent="0.2">
      <c r="A201" t="s">
        <v>267</v>
      </c>
      <c r="B201" t="s">
        <v>177</v>
      </c>
      <c r="C201" t="s">
        <v>303</v>
      </c>
      <c r="D201" t="s">
        <v>304</v>
      </c>
      <c r="I201">
        <f t="shared" si="15"/>
        <v>0</v>
      </c>
      <c r="J201">
        <f t="shared" si="16"/>
        <v>0</v>
      </c>
    </row>
    <row r="202" spans="1:10" x14ac:dyDescent="0.2">
      <c r="A202" t="s">
        <v>267</v>
      </c>
      <c r="B202" t="s">
        <v>177</v>
      </c>
      <c r="C202" t="s">
        <v>72</v>
      </c>
      <c r="D202" t="s">
        <v>305</v>
      </c>
      <c r="I202">
        <f t="shared" si="15"/>
        <v>0</v>
      </c>
      <c r="J202">
        <f t="shared" si="16"/>
        <v>0</v>
      </c>
    </row>
    <row r="203" spans="1:10" x14ac:dyDescent="0.2">
      <c r="A203" t="s">
        <v>267</v>
      </c>
      <c r="B203" t="s">
        <v>177</v>
      </c>
      <c r="C203" t="s">
        <v>72</v>
      </c>
      <c r="D203" t="s">
        <v>309</v>
      </c>
      <c r="I203">
        <f t="shared" si="15"/>
        <v>0</v>
      </c>
      <c r="J203">
        <f t="shared" si="16"/>
        <v>0</v>
      </c>
    </row>
    <row r="204" spans="1:10" x14ac:dyDescent="0.2">
      <c r="A204" t="s">
        <v>267</v>
      </c>
      <c r="B204" t="s">
        <v>177</v>
      </c>
      <c r="C204" t="s">
        <v>53</v>
      </c>
      <c r="D204" t="s">
        <v>316</v>
      </c>
      <c r="I204">
        <f t="shared" si="15"/>
        <v>0</v>
      </c>
      <c r="J204">
        <f t="shared" si="16"/>
        <v>0</v>
      </c>
    </row>
    <row r="205" spans="1:10" x14ac:dyDescent="0.2">
      <c r="A205" t="s">
        <v>267</v>
      </c>
      <c r="B205" t="s">
        <v>177</v>
      </c>
      <c r="C205" t="s">
        <v>271</v>
      </c>
      <c r="D205" t="s">
        <v>324</v>
      </c>
      <c r="I205">
        <f t="shared" si="15"/>
        <v>0</v>
      </c>
      <c r="J205">
        <f t="shared" si="16"/>
        <v>0</v>
      </c>
    </row>
    <row r="206" spans="1:10" x14ac:dyDescent="0.2">
      <c r="A206" t="s">
        <v>267</v>
      </c>
      <c r="B206" t="s">
        <v>177</v>
      </c>
      <c r="C206" t="s">
        <v>271</v>
      </c>
      <c r="D206" t="s">
        <v>325</v>
      </c>
      <c r="I206">
        <f t="shared" si="15"/>
        <v>0</v>
      </c>
      <c r="J206">
        <f t="shared" si="16"/>
        <v>0</v>
      </c>
    </row>
    <row r="207" spans="1:10" x14ac:dyDescent="0.2">
      <c r="A207" t="s">
        <v>267</v>
      </c>
      <c r="B207" t="s">
        <v>177</v>
      </c>
      <c r="C207" t="s">
        <v>53</v>
      </c>
      <c r="D207" t="s">
        <v>326</v>
      </c>
      <c r="I207">
        <f t="shared" si="15"/>
        <v>0</v>
      </c>
      <c r="J207">
        <f t="shared" si="16"/>
        <v>0</v>
      </c>
    </row>
    <row r="208" spans="1:10" x14ac:dyDescent="0.2">
      <c r="A208" t="s">
        <v>267</v>
      </c>
      <c r="B208" t="s">
        <v>177</v>
      </c>
      <c r="C208" t="s">
        <v>53</v>
      </c>
      <c r="D208" t="s">
        <v>333</v>
      </c>
      <c r="I208">
        <f t="shared" si="15"/>
        <v>0</v>
      </c>
      <c r="J208">
        <f t="shared" si="16"/>
        <v>0</v>
      </c>
    </row>
    <row r="209" spans="1:10" x14ac:dyDescent="0.2">
      <c r="A209" t="s">
        <v>267</v>
      </c>
      <c r="B209" t="s">
        <v>177</v>
      </c>
      <c r="C209" t="s">
        <v>53</v>
      </c>
      <c r="D209" t="s">
        <v>345</v>
      </c>
      <c r="I209">
        <f t="shared" si="15"/>
        <v>0</v>
      </c>
      <c r="J209">
        <f t="shared" si="16"/>
        <v>0</v>
      </c>
    </row>
    <row r="210" spans="1:10" x14ac:dyDescent="0.2">
      <c r="A210" t="s">
        <v>267</v>
      </c>
      <c r="B210" t="s">
        <v>177</v>
      </c>
      <c r="C210" t="s">
        <v>72</v>
      </c>
      <c r="D210" t="s">
        <v>347</v>
      </c>
      <c r="I210">
        <f t="shared" si="15"/>
        <v>0</v>
      </c>
      <c r="J210">
        <f t="shared" si="16"/>
        <v>0</v>
      </c>
    </row>
    <row r="211" spans="1:10" x14ac:dyDescent="0.2">
      <c r="A211" t="s">
        <v>267</v>
      </c>
      <c r="B211" t="s">
        <v>177</v>
      </c>
      <c r="C211" t="s">
        <v>72</v>
      </c>
      <c r="D211" t="s">
        <v>354</v>
      </c>
      <c r="I211">
        <f t="shared" si="15"/>
        <v>0</v>
      </c>
      <c r="J211">
        <f t="shared" si="16"/>
        <v>0</v>
      </c>
    </row>
    <row r="212" spans="1:10" x14ac:dyDescent="0.2">
      <c r="A212" t="s">
        <v>267</v>
      </c>
      <c r="B212" t="s">
        <v>177</v>
      </c>
      <c r="C212" t="s">
        <v>271</v>
      </c>
      <c r="D212" t="s">
        <v>363</v>
      </c>
      <c r="I212">
        <f t="shared" si="15"/>
        <v>0</v>
      </c>
      <c r="J212">
        <f t="shared" si="16"/>
        <v>0</v>
      </c>
    </row>
    <row r="213" spans="1:10" x14ac:dyDescent="0.2">
      <c r="A213" t="s">
        <v>267</v>
      </c>
      <c r="B213" t="s">
        <v>177</v>
      </c>
      <c r="C213" t="s">
        <v>369</v>
      </c>
      <c r="D213" t="s">
        <v>370</v>
      </c>
      <c r="I213">
        <f t="shared" si="15"/>
        <v>0</v>
      </c>
      <c r="J213">
        <f t="shared" si="16"/>
        <v>0</v>
      </c>
    </row>
    <row r="214" spans="1:10" x14ac:dyDescent="0.2">
      <c r="A214" t="s">
        <v>267</v>
      </c>
      <c r="B214" t="s">
        <v>177</v>
      </c>
      <c r="C214" t="s">
        <v>72</v>
      </c>
      <c r="D214" t="s">
        <v>381</v>
      </c>
      <c r="I214">
        <f t="shared" si="15"/>
        <v>0</v>
      </c>
      <c r="J214">
        <f t="shared" si="16"/>
        <v>0</v>
      </c>
    </row>
    <row r="215" spans="1:10" x14ac:dyDescent="0.2">
      <c r="A215" t="s">
        <v>267</v>
      </c>
      <c r="B215" t="s">
        <v>177</v>
      </c>
      <c r="C215" t="s">
        <v>72</v>
      </c>
      <c r="D215" t="s">
        <v>385</v>
      </c>
      <c r="I215">
        <f t="shared" si="15"/>
        <v>0</v>
      </c>
      <c r="J215">
        <f t="shared" si="16"/>
        <v>0</v>
      </c>
    </row>
    <row r="216" spans="1:10" x14ac:dyDescent="0.2">
      <c r="A216" t="s">
        <v>267</v>
      </c>
      <c r="B216" t="s">
        <v>177</v>
      </c>
      <c r="C216" t="s">
        <v>53</v>
      </c>
      <c r="D216" t="s">
        <v>389</v>
      </c>
      <c r="F216">
        <v>0.4</v>
      </c>
      <c r="H216">
        <v>12</v>
      </c>
      <c r="I216">
        <f t="shared" si="15"/>
        <v>0</v>
      </c>
      <c r="J216">
        <f t="shared" si="16"/>
        <v>12.4</v>
      </c>
    </row>
    <row r="217" spans="1:10" x14ac:dyDescent="0.2">
      <c r="A217" t="s">
        <v>267</v>
      </c>
      <c r="B217" t="s">
        <v>177</v>
      </c>
      <c r="C217" t="s">
        <v>72</v>
      </c>
      <c r="D217" t="s">
        <v>397</v>
      </c>
      <c r="I217">
        <f t="shared" si="15"/>
        <v>0</v>
      </c>
      <c r="J217">
        <f t="shared" si="16"/>
        <v>0</v>
      </c>
    </row>
    <row r="218" spans="1:10" x14ac:dyDescent="0.2">
      <c r="A218" t="s">
        <v>267</v>
      </c>
      <c r="B218" t="s">
        <v>177</v>
      </c>
      <c r="C218" t="s">
        <v>53</v>
      </c>
      <c r="D218" t="s">
        <v>405</v>
      </c>
      <c r="I218">
        <f t="shared" si="15"/>
        <v>0</v>
      </c>
      <c r="J218">
        <f t="shared" si="16"/>
        <v>0</v>
      </c>
    </row>
    <row r="219" spans="1:10" x14ac:dyDescent="0.2">
      <c r="A219" t="s">
        <v>267</v>
      </c>
      <c r="B219" t="s">
        <v>373</v>
      </c>
      <c r="C219" t="s">
        <v>359</v>
      </c>
      <c r="D219" t="s">
        <v>374</v>
      </c>
      <c r="F219">
        <v>0.8</v>
      </c>
      <c r="H219">
        <v>2</v>
      </c>
      <c r="I219">
        <f t="shared" si="15"/>
        <v>0</v>
      </c>
      <c r="J219">
        <f t="shared" si="16"/>
        <v>2.8</v>
      </c>
    </row>
    <row r="220" spans="1:10" x14ac:dyDescent="0.2">
      <c r="A220" t="s">
        <v>267</v>
      </c>
      <c r="B220" t="s">
        <v>373</v>
      </c>
      <c r="C220" t="s">
        <v>359</v>
      </c>
      <c r="D220" t="s">
        <v>393</v>
      </c>
      <c r="I220">
        <f t="shared" si="15"/>
        <v>0</v>
      </c>
      <c r="J220">
        <f t="shared" si="16"/>
        <v>0</v>
      </c>
    </row>
    <row r="221" spans="1:10" x14ac:dyDescent="0.2">
      <c r="A221" t="s">
        <v>267</v>
      </c>
      <c r="B221" t="s">
        <v>296</v>
      </c>
      <c r="C221" t="s">
        <v>53</v>
      </c>
      <c r="D221" t="s">
        <v>297</v>
      </c>
      <c r="I221">
        <f t="shared" si="15"/>
        <v>0</v>
      </c>
      <c r="J221">
        <f t="shared" si="16"/>
        <v>0</v>
      </c>
    </row>
    <row r="222" spans="1:10" x14ac:dyDescent="0.2">
      <c r="A222" t="s">
        <v>267</v>
      </c>
      <c r="B222" t="s">
        <v>296</v>
      </c>
      <c r="C222" t="s">
        <v>72</v>
      </c>
      <c r="D222" t="s">
        <v>323</v>
      </c>
      <c r="I222">
        <f t="shared" si="15"/>
        <v>0</v>
      </c>
      <c r="J222">
        <f t="shared" si="16"/>
        <v>0</v>
      </c>
    </row>
    <row r="223" spans="1:10" x14ac:dyDescent="0.2">
      <c r="A223" t="s">
        <v>267</v>
      </c>
      <c r="B223" t="s">
        <v>296</v>
      </c>
      <c r="C223" t="s">
        <v>331</v>
      </c>
      <c r="D223" t="s">
        <v>332</v>
      </c>
      <c r="I223">
        <f t="shared" si="15"/>
        <v>0</v>
      </c>
      <c r="J223">
        <f t="shared" si="16"/>
        <v>0</v>
      </c>
    </row>
    <row r="224" spans="1:10" x14ac:dyDescent="0.2">
      <c r="A224" t="s">
        <v>267</v>
      </c>
      <c r="B224" t="s">
        <v>296</v>
      </c>
      <c r="C224" t="s">
        <v>72</v>
      </c>
      <c r="D224" t="s">
        <v>338</v>
      </c>
      <c r="F224">
        <v>0.8</v>
      </c>
      <c r="I224">
        <f t="shared" si="15"/>
        <v>0</v>
      </c>
      <c r="J224">
        <f t="shared" si="16"/>
        <v>0.8</v>
      </c>
    </row>
    <row r="225" spans="1:10" x14ac:dyDescent="0.2">
      <c r="A225" t="s">
        <v>267</v>
      </c>
      <c r="B225" t="s">
        <v>296</v>
      </c>
      <c r="C225" t="s">
        <v>72</v>
      </c>
      <c r="D225" t="s">
        <v>339</v>
      </c>
      <c r="F225">
        <v>0.4</v>
      </c>
      <c r="I225">
        <f t="shared" si="15"/>
        <v>0</v>
      </c>
      <c r="J225">
        <f t="shared" si="16"/>
        <v>0.4</v>
      </c>
    </row>
    <row r="226" spans="1:10" x14ac:dyDescent="0.2">
      <c r="A226" t="s">
        <v>267</v>
      </c>
      <c r="B226" t="s">
        <v>296</v>
      </c>
      <c r="C226" t="s">
        <v>72</v>
      </c>
      <c r="D226" t="s">
        <v>340</v>
      </c>
      <c r="F226">
        <v>0.8</v>
      </c>
      <c r="I226">
        <f t="shared" si="15"/>
        <v>0</v>
      </c>
      <c r="J226">
        <f t="shared" si="16"/>
        <v>0.8</v>
      </c>
    </row>
    <row r="227" spans="1:10" x14ac:dyDescent="0.2">
      <c r="A227" t="s">
        <v>267</v>
      </c>
      <c r="B227" t="s">
        <v>296</v>
      </c>
      <c r="C227" t="s">
        <v>72</v>
      </c>
      <c r="D227" t="s">
        <v>356</v>
      </c>
      <c r="I227">
        <f t="shared" ref="I227:I244" si="17">SUM(E227,G227)</f>
        <v>0</v>
      </c>
      <c r="J227">
        <f t="shared" ref="J227:J244" si="18">SUM(F227,H227)</f>
        <v>0</v>
      </c>
    </row>
    <row r="228" spans="1:10" x14ac:dyDescent="0.2">
      <c r="A228" t="s">
        <v>267</v>
      </c>
      <c r="B228" t="s">
        <v>296</v>
      </c>
      <c r="C228" t="s">
        <v>72</v>
      </c>
      <c r="D228" t="s">
        <v>394</v>
      </c>
      <c r="I228">
        <f t="shared" si="17"/>
        <v>0</v>
      </c>
      <c r="J228">
        <f t="shared" si="18"/>
        <v>0</v>
      </c>
    </row>
    <row r="229" spans="1:10" x14ac:dyDescent="0.2">
      <c r="A229" t="s">
        <v>267</v>
      </c>
      <c r="B229" t="s">
        <v>296</v>
      </c>
      <c r="C229" t="s">
        <v>53</v>
      </c>
      <c r="D229" t="s">
        <v>395</v>
      </c>
      <c r="I229">
        <f t="shared" si="17"/>
        <v>0</v>
      </c>
      <c r="J229">
        <f t="shared" si="18"/>
        <v>0</v>
      </c>
    </row>
    <row r="230" spans="1:10" x14ac:dyDescent="0.2">
      <c r="A230" t="s">
        <v>267</v>
      </c>
      <c r="B230" t="s">
        <v>296</v>
      </c>
      <c r="C230" t="s">
        <v>72</v>
      </c>
      <c r="D230" t="s">
        <v>398</v>
      </c>
      <c r="I230">
        <f t="shared" si="17"/>
        <v>0</v>
      </c>
      <c r="J230">
        <f t="shared" si="18"/>
        <v>0</v>
      </c>
    </row>
    <row r="231" spans="1:10" x14ac:dyDescent="0.2">
      <c r="A231" t="s">
        <v>267</v>
      </c>
      <c r="B231" t="s">
        <v>270</v>
      </c>
      <c r="C231" t="s">
        <v>271</v>
      </c>
      <c r="D231" t="s">
        <v>272</v>
      </c>
      <c r="I231">
        <f t="shared" si="17"/>
        <v>0</v>
      </c>
      <c r="J231">
        <f t="shared" si="18"/>
        <v>0</v>
      </c>
    </row>
    <row r="232" spans="1:10" x14ac:dyDescent="0.2">
      <c r="A232" t="s">
        <v>267</v>
      </c>
      <c r="B232" t="s">
        <v>361</v>
      </c>
      <c r="C232" t="s">
        <v>53</v>
      </c>
      <c r="D232" t="s">
        <v>362</v>
      </c>
      <c r="I232">
        <f t="shared" si="17"/>
        <v>0</v>
      </c>
      <c r="J232">
        <f t="shared" si="18"/>
        <v>0</v>
      </c>
    </row>
    <row r="233" spans="1:10" x14ac:dyDescent="0.2">
      <c r="A233" t="s">
        <v>267</v>
      </c>
      <c r="B233" t="s">
        <v>298</v>
      </c>
      <c r="C233" t="s">
        <v>299</v>
      </c>
      <c r="D233" t="s">
        <v>300</v>
      </c>
      <c r="I233">
        <f t="shared" si="17"/>
        <v>0</v>
      </c>
      <c r="J233">
        <f t="shared" si="18"/>
        <v>0</v>
      </c>
    </row>
    <row r="234" spans="1:10" x14ac:dyDescent="0.2">
      <c r="A234" t="s">
        <v>267</v>
      </c>
      <c r="B234" t="s">
        <v>298</v>
      </c>
      <c r="C234" t="s">
        <v>72</v>
      </c>
      <c r="D234" t="s">
        <v>306</v>
      </c>
      <c r="I234">
        <f t="shared" si="17"/>
        <v>0</v>
      </c>
      <c r="J234">
        <f t="shared" si="18"/>
        <v>0</v>
      </c>
    </row>
    <row r="235" spans="1:10" x14ac:dyDescent="0.2">
      <c r="A235" t="s">
        <v>267</v>
      </c>
      <c r="B235" t="s">
        <v>298</v>
      </c>
      <c r="C235" t="s">
        <v>72</v>
      </c>
      <c r="D235" t="s">
        <v>308</v>
      </c>
      <c r="I235">
        <f t="shared" si="17"/>
        <v>0</v>
      </c>
      <c r="J235">
        <f t="shared" si="18"/>
        <v>0</v>
      </c>
    </row>
    <row r="236" spans="1:10" x14ac:dyDescent="0.2">
      <c r="A236" t="s">
        <v>267</v>
      </c>
      <c r="B236" t="s">
        <v>298</v>
      </c>
      <c r="C236" t="s">
        <v>72</v>
      </c>
      <c r="D236" t="s">
        <v>307</v>
      </c>
      <c r="I236">
        <f t="shared" si="17"/>
        <v>0</v>
      </c>
      <c r="J236">
        <f t="shared" si="18"/>
        <v>0</v>
      </c>
    </row>
    <row r="237" spans="1:10" x14ac:dyDescent="0.2">
      <c r="A237" t="s">
        <v>267</v>
      </c>
      <c r="B237" t="s">
        <v>298</v>
      </c>
      <c r="C237" t="s">
        <v>72</v>
      </c>
      <c r="D237" t="s">
        <v>320</v>
      </c>
      <c r="I237">
        <f t="shared" si="17"/>
        <v>0</v>
      </c>
      <c r="J237">
        <f t="shared" si="18"/>
        <v>0</v>
      </c>
    </row>
    <row r="238" spans="1:10" x14ac:dyDescent="0.2">
      <c r="A238" t="s">
        <v>267</v>
      </c>
      <c r="B238" t="s">
        <v>298</v>
      </c>
      <c r="C238" t="s">
        <v>72</v>
      </c>
      <c r="D238" t="s">
        <v>321</v>
      </c>
      <c r="I238">
        <f t="shared" si="17"/>
        <v>0</v>
      </c>
      <c r="J238">
        <f t="shared" si="18"/>
        <v>0</v>
      </c>
    </row>
    <row r="239" spans="1:10" x14ac:dyDescent="0.2">
      <c r="A239" t="s">
        <v>267</v>
      </c>
      <c r="B239" t="s">
        <v>298</v>
      </c>
      <c r="C239" t="s">
        <v>72</v>
      </c>
      <c r="D239" t="s">
        <v>322</v>
      </c>
      <c r="I239">
        <f t="shared" si="17"/>
        <v>0</v>
      </c>
      <c r="J239">
        <f t="shared" si="18"/>
        <v>0</v>
      </c>
    </row>
    <row r="240" spans="1:10" x14ac:dyDescent="0.2">
      <c r="A240" t="s">
        <v>267</v>
      </c>
      <c r="B240" t="s">
        <v>298</v>
      </c>
      <c r="C240" t="s">
        <v>72</v>
      </c>
      <c r="D240" t="s">
        <v>383</v>
      </c>
      <c r="F240">
        <v>0.9</v>
      </c>
      <c r="H240">
        <v>10</v>
      </c>
      <c r="I240">
        <f t="shared" si="17"/>
        <v>0</v>
      </c>
      <c r="J240">
        <f t="shared" si="18"/>
        <v>10.9</v>
      </c>
    </row>
    <row r="241" spans="1:10" x14ac:dyDescent="0.2">
      <c r="A241" t="s">
        <v>267</v>
      </c>
      <c r="B241" t="s">
        <v>298</v>
      </c>
      <c r="C241" t="s">
        <v>72</v>
      </c>
      <c r="D241" t="s">
        <v>384</v>
      </c>
      <c r="I241">
        <f t="shared" si="17"/>
        <v>0</v>
      </c>
      <c r="J241">
        <f t="shared" si="18"/>
        <v>0</v>
      </c>
    </row>
    <row r="242" spans="1:10" x14ac:dyDescent="0.2">
      <c r="A242" t="s">
        <v>267</v>
      </c>
      <c r="B242" t="s">
        <v>298</v>
      </c>
      <c r="C242" t="s">
        <v>72</v>
      </c>
      <c r="D242" t="s">
        <v>386</v>
      </c>
      <c r="I242">
        <f t="shared" si="17"/>
        <v>0</v>
      </c>
      <c r="J242">
        <f t="shared" si="18"/>
        <v>0</v>
      </c>
    </row>
    <row r="243" spans="1:10" x14ac:dyDescent="0.2">
      <c r="A243" t="s">
        <v>267</v>
      </c>
      <c r="B243" t="s">
        <v>298</v>
      </c>
      <c r="C243" t="s">
        <v>72</v>
      </c>
      <c r="D243" t="s">
        <v>387</v>
      </c>
      <c r="I243">
        <f t="shared" si="17"/>
        <v>0</v>
      </c>
      <c r="J243">
        <f t="shared" si="18"/>
        <v>0</v>
      </c>
    </row>
    <row r="244" spans="1:10" x14ac:dyDescent="0.2">
      <c r="A244" t="s">
        <v>267</v>
      </c>
      <c r="B244" t="s">
        <v>298</v>
      </c>
      <c r="C244" t="s">
        <v>72</v>
      </c>
      <c r="D244" t="s">
        <v>388</v>
      </c>
      <c r="I244">
        <f t="shared" si="17"/>
        <v>0</v>
      </c>
      <c r="J244">
        <f t="shared" si="18"/>
        <v>0</v>
      </c>
    </row>
    <row r="245" spans="1:10" x14ac:dyDescent="0.2">
      <c r="A245" t="s">
        <v>267</v>
      </c>
      <c r="B245" t="s">
        <v>298</v>
      </c>
      <c r="C245" t="s">
        <v>413</v>
      </c>
      <c r="D245" t="s">
        <v>414</v>
      </c>
    </row>
    <row r="246" spans="1:10" x14ac:dyDescent="0.2">
      <c r="A246" t="s">
        <v>267</v>
      </c>
      <c r="B246" t="s">
        <v>298</v>
      </c>
      <c r="C246" t="s">
        <v>72</v>
      </c>
      <c r="D246" t="s">
        <v>416</v>
      </c>
      <c r="I246">
        <f t="shared" ref="I246:I277" si="19">SUM(E246,G246)</f>
        <v>0</v>
      </c>
      <c r="J246">
        <f t="shared" ref="J246:J277" si="20">SUM(F246,H246)</f>
        <v>0</v>
      </c>
    </row>
    <row r="247" spans="1:10" x14ac:dyDescent="0.2">
      <c r="A247" t="s">
        <v>267</v>
      </c>
      <c r="B247" t="s">
        <v>268</v>
      </c>
      <c r="C247" t="s">
        <v>72</v>
      </c>
      <c r="D247" t="s">
        <v>269</v>
      </c>
      <c r="I247">
        <f t="shared" si="19"/>
        <v>0</v>
      </c>
      <c r="J247">
        <f t="shared" si="20"/>
        <v>0</v>
      </c>
    </row>
    <row r="248" spans="1:10" x14ac:dyDescent="0.2">
      <c r="A248" t="s">
        <v>267</v>
      </c>
      <c r="B248" t="s">
        <v>268</v>
      </c>
      <c r="C248" t="s">
        <v>72</v>
      </c>
      <c r="D248" t="s">
        <v>281</v>
      </c>
      <c r="F248">
        <v>0.3</v>
      </c>
      <c r="H248">
        <v>2</v>
      </c>
      <c r="I248">
        <f t="shared" si="19"/>
        <v>0</v>
      </c>
      <c r="J248">
        <f t="shared" si="20"/>
        <v>2.2999999999999998</v>
      </c>
    </row>
    <row r="249" spans="1:10" x14ac:dyDescent="0.2">
      <c r="A249" t="s">
        <v>267</v>
      </c>
      <c r="B249" t="s">
        <v>268</v>
      </c>
      <c r="C249" t="s">
        <v>72</v>
      </c>
      <c r="D249" t="s">
        <v>287</v>
      </c>
      <c r="I249">
        <f t="shared" si="19"/>
        <v>0</v>
      </c>
      <c r="J249">
        <f t="shared" si="20"/>
        <v>0</v>
      </c>
    </row>
    <row r="250" spans="1:10" x14ac:dyDescent="0.2">
      <c r="A250" t="s">
        <v>267</v>
      </c>
      <c r="B250" t="s">
        <v>268</v>
      </c>
      <c r="C250" t="s">
        <v>72</v>
      </c>
      <c r="D250" t="s">
        <v>313</v>
      </c>
      <c r="F250">
        <v>1.2</v>
      </c>
      <c r="H250">
        <v>8</v>
      </c>
      <c r="I250">
        <f t="shared" si="19"/>
        <v>0</v>
      </c>
      <c r="J250">
        <f t="shared" si="20"/>
        <v>9.1999999999999993</v>
      </c>
    </row>
    <row r="251" spans="1:10" x14ac:dyDescent="0.2">
      <c r="A251" t="s">
        <v>267</v>
      </c>
      <c r="B251" t="s">
        <v>268</v>
      </c>
      <c r="C251" t="s">
        <v>72</v>
      </c>
      <c r="D251" t="s">
        <v>419</v>
      </c>
      <c r="I251">
        <f t="shared" si="19"/>
        <v>0</v>
      </c>
      <c r="J251">
        <f t="shared" si="20"/>
        <v>0</v>
      </c>
    </row>
    <row r="252" spans="1:10" x14ac:dyDescent="0.2">
      <c r="A252" t="s">
        <v>267</v>
      </c>
      <c r="B252" t="s">
        <v>268</v>
      </c>
      <c r="C252" t="s">
        <v>72</v>
      </c>
      <c r="D252" t="s">
        <v>315</v>
      </c>
      <c r="I252">
        <f t="shared" si="19"/>
        <v>0</v>
      </c>
      <c r="J252">
        <f t="shared" si="20"/>
        <v>0</v>
      </c>
    </row>
    <row r="253" spans="1:10" x14ac:dyDescent="0.2">
      <c r="A253" t="s">
        <v>267</v>
      </c>
      <c r="B253" t="s">
        <v>268</v>
      </c>
      <c r="C253" t="s">
        <v>72</v>
      </c>
      <c r="D253" t="s">
        <v>334</v>
      </c>
      <c r="I253">
        <f t="shared" si="19"/>
        <v>0</v>
      </c>
      <c r="J253">
        <f t="shared" si="20"/>
        <v>0</v>
      </c>
    </row>
    <row r="254" spans="1:10" x14ac:dyDescent="0.2">
      <c r="A254" t="s">
        <v>267</v>
      </c>
      <c r="B254" t="s">
        <v>268</v>
      </c>
      <c r="C254" t="s">
        <v>72</v>
      </c>
      <c r="D254" t="s">
        <v>415</v>
      </c>
      <c r="I254">
        <f t="shared" si="19"/>
        <v>0</v>
      </c>
      <c r="J254">
        <f t="shared" si="20"/>
        <v>0</v>
      </c>
    </row>
    <row r="255" spans="1:10" x14ac:dyDescent="0.2">
      <c r="A255" t="s">
        <v>267</v>
      </c>
      <c r="B255" t="s">
        <v>268</v>
      </c>
      <c r="C255" t="s">
        <v>72</v>
      </c>
      <c r="D255" t="s">
        <v>353</v>
      </c>
      <c r="I255">
        <f t="shared" si="19"/>
        <v>0</v>
      </c>
      <c r="J255">
        <f t="shared" si="20"/>
        <v>0</v>
      </c>
    </row>
    <row r="256" spans="1:10" x14ac:dyDescent="0.2">
      <c r="A256" t="s">
        <v>267</v>
      </c>
      <c r="B256" t="s">
        <v>268</v>
      </c>
      <c r="C256" t="s">
        <v>72</v>
      </c>
      <c r="D256" t="s">
        <v>404</v>
      </c>
      <c r="I256">
        <f t="shared" si="19"/>
        <v>0</v>
      </c>
      <c r="J256">
        <f t="shared" si="20"/>
        <v>0</v>
      </c>
    </row>
    <row r="257" spans="1:10" x14ac:dyDescent="0.2">
      <c r="A257" t="s">
        <v>267</v>
      </c>
      <c r="B257" t="s">
        <v>278</v>
      </c>
      <c r="C257" t="s">
        <v>72</v>
      </c>
      <c r="D257" t="s">
        <v>279</v>
      </c>
      <c r="I257">
        <f t="shared" si="19"/>
        <v>0</v>
      </c>
      <c r="J257">
        <f t="shared" si="20"/>
        <v>0</v>
      </c>
    </row>
    <row r="258" spans="1:10" x14ac:dyDescent="0.2">
      <c r="A258" t="s">
        <v>267</v>
      </c>
      <c r="B258" t="s">
        <v>278</v>
      </c>
      <c r="C258" t="s">
        <v>53</v>
      </c>
      <c r="D258" t="s">
        <v>282</v>
      </c>
      <c r="I258">
        <f t="shared" si="19"/>
        <v>0</v>
      </c>
      <c r="J258">
        <f t="shared" si="20"/>
        <v>0</v>
      </c>
    </row>
    <row r="259" spans="1:10" x14ac:dyDescent="0.2">
      <c r="A259" t="s">
        <v>267</v>
      </c>
      <c r="B259" t="s">
        <v>278</v>
      </c>
      <c r="C259" t="s">
        <v>311</v>
      </c>
      <c r="D259" t="s">
        <v>312</v>
      </c>
      <c r="I259">
        <f t="shared" si="19"/>
        <v>0</v>
      </c>
      <c r="J259">
        <f t="shared" si="20"/>
        <v>0</v>
      </c>
    </row>
    <row r="260" spans="1:10" x14ac:dyDescent="0.2">
      <c r="A260" t="s">
        <v>267</v>
      </c>
      <c r="B260" t="s">
        <v>278</v>
      </c>
      <c r="C260" t="s">
        <v>72</v>
      </c>
      <c r="D260" t="s">
        <v>327</v>
      </c>
      <c r="I260">
        <f t="shared" si="19"/>
        <v>0</v>
      </c>
      <c r="J260">
        <f t="shared" si="20"/>
        <v>0</v>
      </c>
    </row>
    <row r="261" spans="1:10" x14ac:dyDescent="0.2">
      <c r="A261" t="s">
        <v>267</v>
      </c>
      <c r="B261" t="s">
        <v>278</v>
      </c>
      <c r="C261" t="s">
        <v>72</v>
      </c>
      <c r="D261" t="s">
        <v>328</v>
      </c>
      <c r="I261">
        <f t="shared" si="19"/>
        <v>0</v>
      </c>
      <c r="J261">
        <f t="shared" si="20"/>
        <v>0</v>
      </c>
    </row>
    <row r="262" spans="1:10" x14ac:dyDescent="0.2">
      <c r="A262" t="s">
        <v>267</v>
      </c>
      <c r="B262" t="s">
        <v>278</v>
      </c>
      <c r="C262" t="s">
        <v>311</v>
      </c>
      <c r="D262" t="s">
        <v>329</v>
      </c>
      <c r="I262">
        <f t="shared" si="19"/>
        <v>0</v>
      </c>
      <c r="J262">
        <f t="shared" si="20"/>
        <v>0</v>
      </c>
    </row>
    <row r="263" spans="1:10" x14ac:dyDescent="0.2">
      <c r="A263" t="s">
        <v>267</v>
      </c>
      <c r="B263" t="s">
        <v>278</v>
      </c>
      <c r="C263" t="s">
        <v>311</v>
      </c>
      <c r="D263" t="s">
        <v>330</v>
      </c>
      <c r="I263">
        <f t="shared" si="19"/>
        <v>0</v>
      </c>
      <c r="J263">
        <f t="shared" si="20"/>
        <v>0</v>
      </c>
    </row>
    <row r="264" spans="1:10" x14ac:dyDescent="0.2">
      <c r="A264" t="s">
        <v>267</v>
      </c>
      <c r="B264" t="s">
        <v>278</v>
      </c>
      <c r="C264" t="s">
        <v>72</v>
      </c>
      <c r="D264" t="s">
        <v>335</v>
      </c>
      <c r="I264">
        <f t="shared" si="19"/>
        <v>0</v>
      </c>
      <c r="J264">
        <f t="shared" si="20"/>
        <v>0</v>
      </c>
    </row>
    <row r="265" spans="1:10" x14ac:dyDescent="0.2">
      <c r="A265" t="s">
        <v>267</v>
      </c>
      <c r="B265" t="s">
        <v>278</v>
      </c>
      <c r="C265" t="s">
        <v>336</v>
      </c>
      <c r="D265" t="s">
        <v>337</v>
      </c>
      <c r="I265">
        <f t="shared" si="19"/>
        <v>0</v>
      </c>
      <c r="J265">
        <f t="shared" si="20"/>
        <v>0</v>
      </c>
    </row>
    <row r="266" spans="1:10" x14ac:dyDescent="0.2">
      <c r="A266" t="s">
        <v>267</v>
      </c>
      <c r="B266" t="s">
        <v>278</v>
      </c>
      <c r="C266" t="s">
        <v>53</v>
      </c>
      <c r="D266" t="s">
        <v>351</v>
      </c>
      <c r="I266">
        <f t="shared" si="19"/>
        <v>0</v>
      </c>
      <c r="J266">
        <f t="shared" si="20"/>
        <v>0</v>
      </c>
    </row>
    <row r="267" spans="1:10" x14ac:dyDescent="0.2">
      <c r="A267" t="s">
        <v>267</v>
      </c>
      <c r="B267" t="s">
        <v>278</v>
      </c>
      <c r="C267" t="s">
        <v>72</v>
      </c>
      <c r="D267" t="s">
        <v>352</v>
      </c>
      <c r="I267">
        <f t="shared" si="19"/>
        <v>0</v>
      </c>
      <c r="J267">
        <f t="shared" si="20"/>
        <v>0</v>
      </c>
    </row>
    <row r="268" spans="1:10" x14ac:dyDescent="0.2">
      <c r="A268" t="s">
        <v>267</v>
      </c>
      <c r="B268" t="s">
        <v>278</v>
      </c>
      <c r="C268" t="s">
        <v>53</v>
      </c>
      <c r="D268" t="s">
        <v>357</v>
      </c>
      <c r="I268">
        <f t="shared" si="19"/>
        <v>0</v>
      </c>
      <c r="J268">
        <f t="shared" si="20"/>
        <v>0</v>
      </c>
    </row>
    <row r="269" spans="1:10" x14ac:dyDescent="0.2">
      <c r="A269" t="s">
        <v>267</v>
      </c>
      <c r="B269" t="s">
        <v>278</v>
      </c>
      <c r="C269" t="s">
        <v>80</v>
      </c>
      <c r="D269" t="s">
        <v>378</v>
      </c>
      <c r="I269">
        <f t="shared" si="19"/>
        <v>0</v>
      </c>
      <c r="J269">
        <f t="shared" si="20"/>
        <v>0</v>
      </c>
    </row>
    <row r="270" spans="1:10" x14ac:dyDescent="0.2">
      <c r="A270" t="s">
        <v>267</v>
      </c>
      <c r="B270" t="s">
        <v>278</v>
      </c>
      <c r="C270" t="s">
        <v>53</v>
      </c>
      <c r="D270" t="s">
        <v>401</v>
      </c>
      <c r="I270">
        <f t="shared" si="19"/>
        <v>0</v>
      </c>
      <c r="J270">
        <f t="shared" si="20"/>
        <v>0</v>
      </c>
    </row>
    <row r="271" spans="1:10" x14ac:dyDescent="0.2">
      <c r="A271" t="s">
        <v>267</v>
      </c>
      <c r="B271" t="s">
        <v>278</v>
      </c>
      <c r="C271" t="s">
        <v>53</v>
      </c>
      <c r="D271" t="s">
        <v>406</v>
      </c>
      <c r="I271">
        <f t="shared" si="19"/>
        <v>0</v>
      </c>
      <c r="J271">
        <f t="shared" si="20"/>
        <v>0</v>
      </c>
    </row>
    <row r="272" spans="1:10" x14ac:dyDescent="0.2">
      <c r="A272" t="s">
        <v>420</v>
      </c>
      <c r="B272" t="s">
        <v>421</v>
      </c>
      <c r="C272" t="s">
        <v>428</v>
      </c>
      <c r="D272" t="s">
        <v>429</v>
      </c>
      <c r="I272">
        <f t="shared" si="19"/>
        <v>0</v>
      </c>
      <c r="J272">
        <f t="shared" si="20"/>
        <v>0</v>
      </c>
    </row>
    <row r="273" spans="1:10" x14ac:dyDescent="0.2">
      <c r="A273" t="s">
        <v>420</v>
      </c>
      <c r="B273" t="s">
        <v>421</v>
      </c>
      <c r="C273" t="s">
        <v>426</v>
      </c>
      <c r="D273" t="s">
        <v>427</v>
      </c>
      <c r="I273">
        <f t="shared" si="19"/>
        <v>0</v>
      </c>
      <c r="J273">
        <f t="shared" si="20"/>
        <v>0</v>
      </c>
    </row>
    <row r="274" spans="1:10" x14ac:dyDescent="0.2">
      <c r="A274" t="s">
        <v>420</v>
      </c>
      <c r="B274" t="s">
        <v>421</v>
      </c>
      <c r="C274" t="s">
        <v>424</v>
      </c>
      <c r="D274" t="s">
        <v>425</v>
      </c>
      <c r="I274">
        <f t="shared" si="19"/>
        <v>0</v>
      </c>
      <c r="J274">
        <f t="shared" si="20"/>
        <v>0</v>
      </c>
    </row>
    <row r="275" spans="1:10" x14ac:dyDescent="0.2">
      <c r="A275" t="s">
        <v>420</v>
      </c>
      <c r="B275" t="s">
        <v>421</v>
      </c>
      <c r="C275" t="s">
        <v>422</v>
      </c>
      <c r="D275" t="s">
        <v>423</v>
      </c>
      <c r="I275">
        <f t="shared" si="19"/>
        <v>0</v>
      </c>
      <c r="J275">
        <f t="shared" si="20"/>
        <v>0</v>
      </c>
    </row>
    <row r="276" spans="1:10" x14ac:dyDescent="0.2">
      <c r="A276" t="s">
        <v>430</v>
      </c>
      <c r="B276" t="s">
        <v>431</v>
      </c>
      <c r="C276" t="s">
        <v>466</v>
      </c>
      <c r="D276" t="s">
        <v>467</v>
      </c>
      <c r="I276">
        <f t="shared" si="19"/>
        <v>0</v>
      </c>
      <c r="J276">
        <f t="shared" si="20"/>
        <v>0</v>
      </c>
    </row>
    <row r="277" spans="1:10" x14ac:dyDescent="0.2">
      <c r="A277" t="s">
        <v>430</v>
      </c>
      <c r="B277" t="s">
        <v>431</v>
      </c>
      <c r="C277" t="s">
        <v>432</v>
      </c>
      <c r="D277" t="s">
        <v>419</v>
      </c>
      <c r="I277">
        <f t="shared" si="19"/>
        <v>0</v>
      </c>
      <c r="J277">
        <f t="shared" si="20"/>
        <v>0</v>
      </c>
    </row>
    <row r="278" spans="1:10" x14ac:dyDescent="0.2">
      <c r="A278" t="s">
        <v>430</v>
      </c>
      <c r="B278" t="s">
        <v>431</v>
      </c>
      <c r="C278" t="s">
        <v>432</v>
      </c>
      <c r="D278" t="s">
        <v>464</v>
      </c>
      <c r="I278">
        <f t="shared" ref="I278:I309" si="21">SUM(E278,G278)</f>
        <v>0</v>
      </c>
      <c r="J278">
        <f t="shared" ref="J278:J309" si="22">SUM(F278,H278)</f>
        <v>0</v>
      </c>
    </row>
    <row r="279" spans="1:10" x14ac:dyDescent="0.2">
      <c r="A279" t="s">
        <v>430</v>
      </c>
      <c r="B279" t="s">
        <v>431</v>
      </c>
      <c r="C279" t="s">
        <v>432</v>
      </c>
      <c r="D279" t="s">
        <v>463</v>
      </c>
      <c r="I279">
        <f t="shared" si="21"/>
        <v>0</v>
      </c>
      <c r="J279">
        <f t="shared" si="22"/>
        <v>0</v>
      </c>
    </row>
    <row r="280" spans="1:10" x14ac:dyDescent="0.2">
      <c r="A280" t="s">
        <v>430</v>
      </c>
      <c r="B280" t="s">
        <v>431</v>
      </c>
      <c r="C280" t="s">
        <v>432</v>
      </c>
      <c r="D280" t="s">
        <v>462</v>
      </c>
      <c r="F280">
        <v>6.7</v>
      </c>
      <c r="H280">
        <v>24</v>
      </c>
      <c r="I280">
        <f t="shared" si="21"/>
        <v>0</v>
      </c>
      <c r="J280">
        <f t="shared" si="22"/>
        <v>30.7</v>
      </c>
    </row>
    <row r="281" spans="1:10" x14ac:dyDescent="0.2">
      <c r="A281" t="s">
        <v>430</v>
      </c>
      <c r="B281" t="s">
        <v>431</v>
      </c>
      <c r="C281" t="s">
        <v>359</v>
      </c>
      <c r="D281" t="s">
        <v>461</v>
      </c>
      <c r="I281">
        <f t="shared" si="21"/>
        <v>0</v>
      </c>
      <c r="J281">
        <f t="shared" si="22"/>
        <v>0</v>
      </c>
    </row>
    <row r="282" spans="1:10" x14ac:dyDescent="0.2">
      <c r="A282" t="s">
        <v>430</v>
      </c>
      <c r="B282" t="s">
        <v>431</v>
      </c>
      <c r="C282" t="s">
        <v>445</v>
      </c>
      <c r="D282" t="s">
        <v>460</v>
      </c>
      <c r="I282">
        <f t="shared" si="21"/>
        <v>0</v>
      </c>
      <c r="J282">
        <f t="shared" si="22"/>
        <v>0</v>
      </c>
    </row>
    <row r="283" spans="1:10" x14ac:dyDescent="0.2">
      <c r="A283" t="s">
        <v>430</v>
      </c>
      <c r="B283" t="s">
        <v>431</v>
      </c>
      <c r="C283" t="s">
        <v>438</v>
      </c>
      <c r="D283" t="s">
        <v>459</v>
      </c>
      <c r="I283">
        <f t="shared" si="21"/>
        <v>0</v>
      </c>
      <c r="J283">
        <f t="shared" si="22"/>
        <v>0</v>
      </c>
    </row>
    <row r="284" spans="1:10" x14ac:dyDescent="0.2">
      <c r="A284" t="s">
        <v>430</v>
      </c>
      <c r="B284" t="s">
        <v>431</v>
      </c>
      <c r="C284" t="s">
        <v>432</v>
      </c>
      <c r="D284" t="s">
        <v>458</v>
      </c>
      <c r="I284">
        <f t="shared" si="21"/>
        <v>0</v>
      </c>
      <c r="J284">
        <f t="shared" si="22"/>
        <v>0</v>
      </c>
    </row>
    <row r="285" spans="1:10" x14ac:dyDescent="0.2">
      <c r="A285" t="s">
        <v>430</v>
      </c>
      <c r="B285" t="s">
        <v>431</v>
      </c>
      <c r="C285" t="s">
        <v>438</v>
      </c>
      <c r="D285" t="s">
        <v>457</v>
      </c>
      <c r="I285">
        <f t="shared" si="21"/>
        <v>0</v>
      </c>
      <c r="J285">
        <f t="shared" si="22"/>
        <v>0</v>
      </c>
    </row>
    <row r="286" spans="1:10" x14ac:dyDescent="0.2">
      <c r="A286" t="s">
        <v>430</v>
      </c>
      <c r="B286" t="s">
        <v>431</v>
      </c>
      <c r="C286" t="s">
        <v>438</v>
      </c>
      <c r="D286" t="s">
        <v>456</v>
      </c>
      <c r="F286">
        <v>3.2</v>
      </c>
      <c r="H286">
        <v>30</v>
      </c>
      <c r="I286">
        <f t="shared" si="21"/>
        <v>0</v>
      </c>
      <c r="J286">
        <f t="shared" si="22"/>
        <v>33.200000000000003</v>
      </c>
    </row>
    <row r="287" spans="1:10" x14ac:dyDescent="0.2">
      <c r="A287" t="s">
        <v>430</v>
      </c>
      <c r="B287" t="s">
        <v>431</v>
      </c>
      <c r="C287" t="s">
        <v>432</v>
      </c>
      <c r="D287" t="s">
        <v>455</v>
      </c>
      <c r="I287">
        <f t="shared" si="21"/>
        <v>0</v>
      </c>
      <c r="J287">
        <f t="shared" si="22"/>
        <v>0</v>
      </c>
    </row>
    <row r="288" spans="1:10" x14ac:dyDescent="0.2">
      <c r="A288" t="s">
        <v>430</v>
      </c>
      <c r="B288" t="s">
        <v>431</v>
      </c>
      <c r="C288" t="s">
        <v>432</v>
      </c>
      <c r="D288" t="s">
        <v>454</v>
      </c>
      <c r="I288">
        <f t="shared" si="21"/>
        <v>0</v>
      </c>
      <c r="J288">
        <f t="shared" si="22"/>
        <v>0</v>
      </c>
    </row>
    <row r="289" spans="1:10" x14ac:dyDescent="0.2">
      <c r="A289" t="s">
        <v>430</v>
      </c>
      <c r="B289" t="s">
        <v>431</v>
      </c>
      <c r="C289" t="s">
        <v>432</v>
      </c>
      <c r="D289" t="s">
        <v>453</v>
      </c>
      <c r="I289">
        <f t="shared" si="21"/>
        <v>0</v>
      </c>
      <c r="J289">
        <f t="shared" si="22"/>
        <v>0</v>
      </c>
    </row>
    <row r="290" spans="1:10" x14ac:dyDescent="0.2">
      <c r="A290" t="s">
        <v>430</v>
      </c>
      <c r="B290" t="s">
        <v>431</v>
      </c>
      <c r="C290" t="s">
        <v>432</v>
      </c>
      <c r="D290" t="s">
        <v>452</v>
      </c>
      <c r="I290">
        <f t="shared" si="21"/>
        <v>0</v>
      </c>
      <c r="J290">
        <f t="shared" si="22"/>
        <v>0</v>
      </c>
    </row>
    <row r="291" spans="1:10" x14ac:dyDescent="0.2">
      <c r="A291" t="s">
        <v>430</v>
      </c>
      <c r="B291" t="s">
        <v>431</v>
      </c>
      <c r="C291" t="s">
        <v>438</v>
      </c>
      <c r="D291" t="s">
        <v>451</v>
      </c>
      <c r="I291">
        <f t="shared" si="21"/>
        <v>0</v>
      </c>
      <c r="J291">
        <f t="shared" si="22"/>
        <v>0</v>
      </c>
    </row>
    <row r="292" spans="1:10" x14ac:dyDescent="0.2">
      <c r="A292" t="s">
        <v>430</v>
      </c>
      <c r="B292" t="s">
        <v>431</v>
      </c>
      <c r="C292" t="s">
        <v>438</v>
      </c>
      <c r="D292" t="s">
        <v>451</v>
      </c>
      <c r="F292">
        <v>4.2</v>
      </c>
      <c r="I292">
        <f t="shared" si="21"/>
        <v>0</v>
      </c>
      <c r="J292">
        <f t="shared" si="22"/>
        <v>4.2</v>
      </c>
    </row>
    <row r="293" spans="1:10" x14ac:dyDescent="0.2">
      <c r="A293" t="s">
        <v>430</v>
      </c>
      <c r="B293" t="s">
        <v>431</v>
      </c>
      <c r="C293" t="s">
        <v>432</v>
      </c>
      <c r="D293" t="s">
        <v>450</v>
      </c>
      <c r="I293">
        <f t="shared" si="21"/>
        <v>0</v>
      </c>
      <c r="J293">
        <f t="shared" si="22"/>
        <v>0</v>
      </c>
    </row>
    <row r="294" spans="1:10" x14ac:dyDescent="0.2">
      <c r="A294" t="s">
        <v>430</v>
      </c>
      <c r="B294" t="s">
        <v>431</v>
      </c>
      <c r="C294" t="s">
        <v>438</v>
      </c>
      <c r="D294" t="s">
        <v>449</v>
      </c>
      <c r="I294">
        <f t="shared" si="21"/>
        <v>0</v>
      </c>
      <c r="J294">
        <f t="shared" si="22"/>
        <v>0</v>
      </c>
    </row>
    <row r="295" spans="1:10" x14ac:dyDescent="0.2">
      <c r="A295" t="s">
        <v>430</v>
      </c>
      <c r="B295" t="s">
        <v>431</v>
      </c>
      <c r="C295" t="s">
        <v>432</v>
      </c>
      <c r="D295" t="s">
        <v>448</v>
      </c>
      <c r="I295">
        <f t="shared" si="21"/>
        <v>0</v>
      </c>
      <c r="J295">
        <f t="shared" si="22"/>
        <v>0</v>
      </c>
    </row>
    <row r="296" spans="1:10" x14ac:dyDescent="0.2">
      <c r="A296" t="s">
        <v>430</v>
      </c>
      <c r="B296" t="s">
        <v>431</v>
      </c>
      <c r="C296" t="s">
        <v>432</v>
      </c>
      <c r="D296" t="s">
        <v>447</v>
      </c>
      <c r="I296">
        <f t="shared" si="21"/>
        <v>0</v>
      </c>
      <c r="J296">
        <f t="shared" si="22"/>
        <v>0</v>
      </c>
    </row>
    <row r="297" spans="1:10" x14ac:dyDescent="0.2">
      <c r="A297" t="s">
        <v>430</v>
      </c>
      <c r="B297" t="s">
        <v>431</v>
      </c>
      <c r="C297" t="s">
        <v>445</v>
      </c>
      <c r="D297" t="s">
        <v>446</v>
      </c>
      <c r="I297">
        <f t="shared" si="21"/>
        <v>0</v>
      </c>
      <c r="J297">
        <f t="shared" si="22"/>
        <v>0</v>
      </c>
    </row>
    <row r="298" spans="1:10" x14ac:dyDescent="0.2">
      <c r="A298" t="s">
        <v>430</v>
      </c>
      <c r="B298" t="s">
        <v>431</v>
      </c>
      <c r="C298" t="s">
        <v>359</v>
      </c>
      <c r="D298" t="s">
        <v>444</v>
      </c>
      <c r="I298">
        <f t="shared" si="21"/>
        <v>0</v>
      </c>
      <c r="J298">
        <f t="shared" si="22"/>
        <v>0</v>
      </c>
    </row>
    <row r="299" spans="1:10" x14ac:dyDescent="0.2">
      <c r="A299" t="s">
        <v>430</v>
      </c>
      <c r="B299" t="s">
        <v>431</v>
      </c>
      <c r="C299" t="s">
        <v>442</v>
      </c>
      <c r="D299" t="s">
        <v>443</v>
      </c>
      <c r="I299">
        <f t="shared" si="21"/>
        <v>0</v>
      </c>
      <c r="J299">
        <f t="shared" si="22"/>
        <v>0</v>
      </c>
    </row>
    <row r="300" spans="1:10" x14ac:dyDescent="0.2">
      <c r="A300" t="s">
        <v>430</v>
      </c>
      <c r="B300" t="s">
        <v>431</v>
      </c>
      <c r="C300" t="s">
        <v>432</v>
      </c>
      <c r="D300" t="s">
        <v>441</v>
      </c>
      <c r="I300">
        <f t="shared" si="21"/>
        <v>0</v>
      </c>
      <c r="J300">
        <f t="shared" si="22"/>
        <v>0</v>
      </c>
    </row>
    <row r="301" spans="1:10" x14ac:dyDescent="0.2">
      <c r="A301" t="s">
        <v>430</v>
      </c>
      <c r="B301" t="s">
        <v>431</v>
      </c>
      <c r="C301" t="s">
        <v>359</v>
      </c>
      <c r="D301" t="s">
        <v>440</v>
      </c>
      <c r="I301">
        <f t="shared" si="21"/>
        <v>0</v>
      </c>
      <c r="J301">
        <f t="shared" si="22"/>
        <v>0</v>
      </c>
    </row>
    <row r="302" spans="1:10" x14ac:dyDescent="0.2">
      <c r="A302" t="s">
        <v>430</v>
      </c>
      <c r="B302" t="s">
        <v>431</v>
      </c>
      <c r="C302" t="s">
        <v>438</v>
      </c>
      <c r="D302" t="s">
        <v>439</v>
      </c>
      <c r="I302">
        <f t="shared" si="21"/>
        <v>0</v>
      </c>
      <c r="J302">
        <f t="shared" si="22"/>
        <v>0</v>
      </c>
    </row>
    <row r="303" spans="1:10" x14ac:dyDescent="0.2">
      <c r="A303" t="s">
        <v>430</v>
      </c>
      <c r="B303" t="s">
        <v>431</v>
      </c>
      <c r="C303" t="s">
        <v>432</v>
      </c>
      <c r="D303" t="s">
        <v>437</v>
      </c>
      <c r="I303">
        <f t="shared" si="21"/>
        <v>0</v>
      </c>
      <c r="J303">
        <f t="shared" si="22"/>
        <v>0</v>
      </c>
    </row>
    <row r="304" spans="1:10" x14ac:dyDescent="0.2">
      <c r="A304" t="s">
        <v>430</v>
      </c>
      <c r="B304" t="s">
        <v>431</v>
      </c>
      <c r="C304" t="s">
        <v>435</v>
      </c>
      <c r="D304" t="s">
        <v>436</v>
      </c>
      <c r="F304">
        <v>3.9</v>
      </c>
      <c r="H304">
        <v>35</v>
      </c>
      <c r="I304">
        <f t="shared" si="21"/>
        <v>0</v>
      </c>
      <c r="J304">
        <f t="shared" si="22"/>
        <v>38.9</v>
      </c>
    </row>
    <row r="305" spans="1:10" x14ac:dyDescent="0.2">
      <c r="A305" t="s">
        <v>430</v>
      </c>
      <c r="B305" t="s">
        <v>431</v>
      </c>
      <c r="C305" t="s">
        <v>432</v>
      </c>
      <c r="D305" t="s">
        <v>434</v>
      </c>
      <c r="I305">
        <f t="shared" si="21"/>
        <v>0</v>
      </c>
      <c r="J305">
        <f t="shared" si="22"/>
        <v>0</v>
      </c>
    </row>
    <row r="306" spans="1:10" x14ac:dyDescent="0.2">
      <c r="A306" t="s">
        <v>430</v>
      </c>
      <c r="B306" t="s">
        <v>431</v>
      </c>
      <c r="C306" t="s">
        <v>432</v>
      </c>
      <c r="D306" t="s">
        <v>433</v>
      </c>
      <c r="I306">
        <f t="shared" si="21"/>
        <v>0</v>
      </c>
      <c r="J306">
        <f t="shared" si="22"/>
        <v>0</v>
      </c>
    </row>
    <row r="307" spans="1:10" x14ac:dyDescent="0.2">
      <c r="A307" t="s">
        <v>430</v>
      </c>
      <c r="B307" t="s">
        <v>468</v>
      </c>
      <c r="C307" t="s">
        <v>432</v>
      </c>
      <c r="D307" t="s">
        <v>481</v>
      </c>
      <c r="F307">
        <v>1</v>
      </c>
      <c r="I307">
        <f t="shared" si="21"/>
        <v>0</v>
      </c>
      <c r="J307">
        <f t="shared" si="22"/>
        <v>1</v>
      </c>
    </row>
    <row r="308" spans="1:10" x14ac:dyDescent="0.2">
      <c r="A308" t="s">
        <v>430</v>
      </c>
      <c r="B308" t="s">
        <v>468</v>
      </c>
      <c r="C308" t="s">
        <v>479</v>
      </c>
      <c r="D308" t="s">
        <v>480</v>
      </c>
      <c r="H308">
        <v>2</v>
      </c>
      <c r="I308">
        <f t="shared" si="21"/>
        <v>0</v>
      </c>
      <c r="J308">
        <f t="shared" si="22"/>
        <v>2</v>
      </c>
    </row>
    <row r="309" spans="1:10" x14ac:dyDescent="0.2">
      <c r="A309" t="s">
        <v>430</v>
      </c>
      <c r="B309" t="s">
        <v>468</v>
      </c>
      <c r="C309" t="s">
        <v>435</v>
      </c>
      <c r="D309" t="s">
        <v>477</v>
      </c>
      <c r="I309">
        <f t="shared" si="21"/>
        <v>0</v>
      </c>
      <c r="J309">
        <f t="shared" si="22"/>
        <v>0</v>
      </c>
    </row>
    <row r="310" spans="1:10" x14ac:dyDescent="0.2">
      <c r="A310" t="s">
        <v>430</v>
      </c>
      <c r="B310" t="s">
        <v>468</v>
      </c>
      <c r="C310" t="s">
        <v>432</v>
      </c>
      <c r="D310" t="s">
        <v>476</v>
      </c>
      <c r="I310">
        <f t="shared" ref="I310:I341" si="23">SUM(E310,G310)</f>
        <v>0</v>
      </c>
      <c r="J310">
        <f t="shared" ref="J310:J341" si="24">SUM(F310,H310)</f>
        <v>0</v>
      </c>
    </row>
    <row r="311" spans="1:10" x14ac:dyDescent="0.2">
      <c r="A311" t="s">
        <v>430</v>
      </c>
      <c r="B311" t="s">
        <v>468</v>
      </c>
      <c r="C311" t="s">
        <v>432</v>
      </c>
      <c r="D311" t="s">
        <v>475</v>
      </c>
      <c r="I311">
        <f t="shared" si="23"/>
        <v>0</v>
      </c>
      <c r="J311">
        <f t="shared" si="24"/>
        <v>0</v>
      </c>
    </row>
    <row r="312" spans="1:10" x14ac:dyDescent="0.2">
      <c r="A312" t="s">
        <v>430</v>
      </c>
      <c r="B312" t="s">
        <v>468</v>
      </c>
      <c r="C312" t="s">
        <v>432</v>
      </c>
      <c r="D312" t="s">
        <v>474</v>
      </c>
      <c r="I312">
        <f t="shared" si="23"/>
        <v>0</v>
      </c>
      <c r="J312">
        <f t="shared" si="24"/>
        <v>0</v>
      </c>
    </row>
    <row r="313" spans="1:10" x14ac:dyDescent="0.2">
      <c r="A313" t="s">
        <v>430</v>
      </c>
      <c r="B313" t="s">
        <v>468</v>
      </c>
      <c r="C313" t="s">
        <v>438</v>
      </c>
      <c r="D313" t="s">
        <v>472</v>
      </c>
      <c r="F313">
        <v>3.8</v>
      </c>
      <c r="H313">
        <v>6</v>
      </c>
      <c r="I313">
        <f t="shared" si="23"/>
        <v>0</v>
      </c>
      <c r="J313">
        <f t="shared" si="24"/>
        <v>9.8000000000000007</v>
      </c>
    </row>
    <row r="314" spans="1:10" x14ac:dyDescent="0.2">
      <c r="A314" t="s">
        <v>430</v>
      </c>
      <c r="B314" t="s">
        <v>468</v>
      </c>
      <c r="C314" t="s">
        <v>432</v>
      </c>
      <c r="D314" t="s">
        <v>470</v>
      </c>
      <c r="I314">
        <f t="shared" si="23"/>
        <v>0</v>
      </c>
      <c r="J314">
        <f t="shared" si="24"/>
        <v>0</v>
      </c>
    </row>
    <row r="315" spans="1:10" x14ac:dyDescent="0.2">
      <c r="A315" t="s">
        <v>430</v>
      </c>
      <c r="B315" t="s">
        <v>468</v>
      </c>
      <c r="C315" t="s">
        <v>432</v>
      </c>
      <c r="D315" t="s">
        <v>471</v>
      </c>
      <c r="I315">
        <f t="shared" si="23"/>
        <v>0</v>
      </c>
      <c r="J315">
        <f t="shared" si="24"/>
        <v>0</v>
      </c>
    </row>
    <row r="316" spans="1:10" x14ac:dyDescent="0.2">
      <c r="A316" t="s">
        <v>430</v>
      </c>
      <c r="B316" t="s">
        <v>468</v>
      </c>
      <c r="C316" t="s">
        <v>435</v>
      </c>
      <c r="D316" t="s">
        <v>469</v>
      </c>
      <c r="I316">
        <f t="shared" si="23"/>
        <v>0</v>
      </c>
      <c r="J316">
        <f t="shared" si="24"/>
        <v>0</v>
      </c>
    </row>
    <row r="317" spans="1:10" x14ac:dyDescent="0.2">
      <c r="A317" t="s">
        <v>430</v>
      </c>
      <c r="B317" t="s">
        <v>482</v>
      </c>
      <c r="C317" t="s">
        <v>498</v>
      </c>
      <c r="D317" t="s">
        <v>499</v>
      </c>
      <c r="I317">
        <f t="shared" si="23"/>
        <v>0</v>
      </c>
      <c r="J317">
        <f t="shared" si="24"/>
        <v>0</v>
      </c>
    </row>
    <row r="318" spans="1:10" x14ac:dyDescent="0.2">
      <c r="A318" t="s">
        <v>430</v>
      </c>
      <c r="B318" t="s">
        <v>482</v>
      </c>
      <c r="C318" t="s">
        <v>432</v>
      </c>
      <c r="D318" t="s">
        <v>497</v>
      </c>
      <c r="I318">
        <f t="shared" si="23"/>
        <v>0</v>
      </c>
      <c r="J318">
        <f t="shared" si="24"/>
        <v>0</v>
      </c>
    </row>
    <row r="319" spans="1:10" x14ac:dyDescent="0.2">
      <c r="A319" t="s">
        <v>430</v>
      </c>
      <c r="B319" t="s">
        <v>482</v>
      </c>
      <c r="C319" t="s">
        <v>495</v>
      </c>
      <c r="D319" t="s">
        <v>496</v>
      </c>
      <c r="I319">
        <f t="shared" si="23"/>
        <v>0</v>
      </c>
      <c r="J319">
        <f t="shared" si="24"/>
        <v>0</v>
      </c>
    </row>
    <row r="320" spans="1:10" x14ac:dyDescent="0.2">
      <c r="A320" t="s">
        <v>430</v>
      </c>
      <c r="B320" t="s">
        <v>482</v>
      </c>
      <c r="C320" t="s">
        <v>432</v>
      </c>
      <c r="D320" t="s">
        <v>494</v>
      </c>
      <c r="I320">
        <f t="shared" si="23"/>
        <v>0</v>
      </c>
      <c r="J320">
        <f t="shared" si="24"/>
        <v>0</v>
      </c>
    </row>
    <row r="321" spans="1:10" x14ac:dyDescent="0.2">
      <c r="A321" t="s">
        <v>430</v>
      </c>
      <c r="B321" t="s">
        <v>482</v>
      </c>
      <c r="C321" t="s">
        <v>432</v>
      </c>
      <c r="D321" t="s">
        <v>493</v>
      </c>
      <c r="F321">
        <v>2.9</v>
      </c>
      <c r="I321">
        <f t="shared" si="23"/>
        <v>0</v>
      </c>
      <c r="J321">
        <f t="shared" si="24"/>
        <v>2.9</v>
      </c>
    </row>
    <row r="322" spans="1:10" x14ac:dyDescent="0.2">
      <c r="A322" t="s">
        <v>430</v>
      </c>
      <c r="B322" t="s">
        <v>482</v>
      </c>
      <c r="C322" t="s">
        <v>432</v>
      </c>
      <c r="D322" t="s">
        <v>560</v>
      </c>
      <c r="I322">
        <f t="shared" si="23"/>
        <v>0</v>
      </c>
      <c r="J322">
        <f t="shared" si="24"/>
        <v>0</v>
      </c>
    </row>
    <row r="323" spans="1:10" x14ac:dyDescent="0.2">
      <c r="A323" t="s">
        <v>430</v>
      </c>
      <c r="B323" t="s">
        <v>482</v>
      </c>
      <c r="C323" t="s">
        <v>561</v>
      </c>
      <c r="D323" t="s">
        <v>562</v>
      </c>
      <c r="H323">
        <v>6</v>
      </c>
      <c r="I323">
        <f t="shared" si="23"/>
        <v>0</v>
      </c>
      <c r="J323">
        <f t="shared" si="24"/>
        <v>6</v>
      </c>
    </row>
    <row r="324" spans="1:10" x14ac:dyDescent="0.2">
      <c r="A324" t="s">
        <v>430</v>
      </c>
      <c r="B324" t="s">
        <v>482</v>
      </c>
      <c r="C324" t="s">
        <v>359</v>
      </c>
      <c r="D324" t="s">
        <v>563</v>
      </c>
      <c r="F324">
        <v>10.9</v>
      </c>
      <c r="H324">
        <v>76</v>
      </c>
      <c r="I324">
        <f t="shared" si="23"/>
        <v>0</v>
      </c>
      <c r="J324">
        <f t="shared" si="24"/>
        <v>86.9</v>
      </c>
    </row>
    <row r="325" spans="1:10" x14ac:dyDescent="0.2">
      <c r="A325" t="s">
        <v>430</v>
      </c>
      <c r="B325" t="s">
        <v>482</v>
      </c>
      <c r="C325" t="s">
        <v>432</v>
      </c>
      <c r="D325" t="s">
        <v>492</v>
      </c>
      <c r="I325">
        <f t="shared" si="23"/>
        <v>0</v>
      </c>
      <c r="J325">
        <f t="shared" si="24"/>
        <v>0</v>
      </c>
    </row>
    <row r="326" spans="1:10" x14ac:dyDescent="0.2">
      <c r="A326" t="s">
        <v>430</v>
      </c>
      <c r="B326" t="s">
        <v>482</v>
      </c>
      <c r="C326" t="s">
        <v>432</v>
      </c>
      <c r="D326" t="s">
        <v>491</v>
      </c>
      <c r="F326">
        <v>12.1</v>
      </c>
      <c r="I326">
        <f t="shared" si="23"/>
        <v>0</v>
      </c>
      <c r="J326">
        <f t="shared" si="24"/>
        <v>12.1</v>
      </c>
    </row>
    <row r="327" spans="1:10" x14ac:dyDescent="0.2">
      <c r="A327" t="s">
        <v>430</v>
      </c>
      <c r="B327" t="s">
        <v>482</v>
      </c>
      <c r="C327" t="s">
        <v>56</v>
      </c>
      <c r="D327" t="s">
        <v>490</v>
      </c>
      <c r="I327">
        <f t="shared" si="23"/>
        <v>0</v>
      </c>
      <c r="J327">
        <f t="shared" si="24"/>
        <v>0</v>
      </c>
    </row>
    <row r="328" spans="1:10" x14ac:dyDescent="0.2">
      <c r="A328" t="s">
        <v>430</v>
      </c>
      <c r="B328" t="s">
        <v>482</v>
      </c>
      <c r="C328" t="s">
        <v>438</v>
      </c>
      <c r="D328" t="s">
        <v>489</v>
      </c>
      <c r="I328">
        <f t="shared" si="23"/>
        <v>0</v>
      </c>
      <c r="J328">
        <f t="shared" si="24"/>
        <v>0</v>
      </c>
    </row>
    <row r="329" spans="1:10" x14ac:dyDescent="0.2">
      <c r="A329" t="s">
        <v>430</v>
      </c>
      <c r="B329" t="s">
        <v>482</v>
      </c>
      <c r="C329" t="s">
        <v>487</v>
      </c>
      <c r="D329" t="s">
        <v>488</v>
      </c>
      <c r="I329">
        <f t="shared" si="23"/>
        <v>0</v>
      </c>
      <c r="J329">
        <f t="shared" si="24"/>
        <v>0</v>
      </c>
    </row>
    <row r="330" spans="1:10" x14ac:dyDescent="0.2">
      <c r="A330" t="s">
        <v>430</v>
      </c>
      <c r="B330" t="s">
        <v>482</v>
      </c>
      <c r="C330" t="s">
        <v>438</v>
      </c>
      <c r="D330" t="s">
        <v>486</v>
      </c>
      <c r="I330">
        <f t="shared" si="23"/>
        <v>0</v>
      </c>
      <c r="J330">
        <f t="shared" si="24"/>
        <v>0</v>
      </c>
    </row>
    <row r="331" spans="1:10" x14ac:dyDescent="0.2">
      <c r="A331" t="s">
        <v>430</v>
      </c>
      <c r="B331" t="s">
        <v>482</v>
      </c>
      <c r="C331" t="s">
        <v>432</v>
      </c>
      <c r="D331" t="s">
        <v>485</v>
      </c>
      <c r="I331">
        <f t="shared" si="23"/>
        <v>0</v>
      </c>
      <c r="J331">
        <f t="shared" si="24"/>
        <v>0</v>
      </c>
    </row>
    <row r="332" spans="1:10" x14ac:dyDescent="0.2">
      <c r="A332" t="s">
        <v>430</v>
      </c>
      <c r="B332" t="s">
        <v>482</v>
      </c>
      <c r="C332" t="s">
        <v>432</v>
      </c>
      <c r="D332" t="s">
        <v>484</v>
      </c>
      <c r="I332">
        <f t="shared" si="23"/>
        <v>0</v>
      </c>
      <c r="J332">
        <f t="shared" si="24"/>
        <v>0</v>
      </c>
    </row>
    <row r="333" spans="1:10" x14ac:dyDescent="0.2">
      <c r="A333" t="s">
        <v>430</v>
      </c>
      <c r="B333" t="s">
        <v>482</v>
      </c>
      <c r="C333" t="s">
        <v>432</v>
      </c>
      <c r="D333" t="s">
        <v>483</v>
      </c>
      <c r="I333">
        <f t="shared" si="23"/>
        <v>0</v>
      </c>
      <c r="J333">
        <f t="shared" si="24"/>
        <v>0</v>
      </c>
    </row>
    <row r="334" spans="1:10" x14ac:dyDescent="0.2">
      <c r="A334" t="s">
        <v>430</v>
      </c>
      <c r="B334" t="s">
        <v>500</v>
      </c>
      <c r="C334" t="s">
        <v>432</v>
      </c>
      <c r="D334" t="s">
        <v>528</v>
      </c>
      <c r="I334">
        <f t="shared" si="23"/>
        <v>0</v>
      </c>
      <c r="J334">
        <f t="shared" si="24"/>
        <v>0</v>
      </c>
    </row>
    <row r="335" spans="1:10" x14ac:dyDescent="0.2">
      <c r="A335" t="s">
        <v>430</v>
      </c>
      <c r="B335" t="s">
        <v>500</v>
      </c>
      <c r="C335" t="s">
        <v>438</v>
      </c>
      <c r="D335" t="s">
        <v>527</v>
      </c>
      <c r="I335">
        <f t="shared" si="23"/>
        <v>0</v>
      </c>
      <c r="J335">
        <f t="shared" si="24"/>
        <v>0</v>
      </c>
    </row>
    <row r="336" spans="1:10" x14ac:dyDescent="0.2">
      <c r="A336" t="s">
        <v>430</v>
      </c>
      <c r="B336" t="s">
        <v>500</v>
      </c>
      <c r="C336" t="s">
        <v>432</v>
      </c>
      <c r="D336" t="s">
        <v>526</v>
      </c>
      <c r="I336">
        <f t="shared" si="23"/>
        <v>0</v>
      </c>
      <c r="J336">
        <f t="shared" si="24"/>
        <v>0</v>
      </c>
    </row>
    <row r="337" spans="1:10" x14ac:dyDescent="0.2">
      <c r="A337" t="s">
        <v>430</v>
      </c>
      <c r="B337" t="s">
        <v>500</v>
      </c>
      <c r="C337" t="s">
        <v>359</v>
      </c>
      <c r="D337" t="s">
        <v>525</v>
      </c>
      <c r="I337">
        <f t="shared" si="23"/>
        <v>0</v>
      </c>
      <c r="J337">
        <f t="shared" si="24"/>
        <v>0</v>
      </c>
    </row>
    <row r="338" spans="1:10" x14ac:dyDescent="0.2">
      <c r="A338" t="s">
        <v>430</v>
      </c>
      <c r="B338" t="s">
        <v>500</v>
      </c>
      <c r="C338" t="s">
        <v>498</v>
      </c>
      <c r="D338" t="s">
        <v>524</v>
      </c>
      <c r="I338">
        <f t="shared" si="23"/>
        <v>0</v>
      </c>
      <c r="J338">
        <f t="shared" si="24"/>
        <v>0</v>
      </c>
    </row>
    <row r="339" spans="1:10" x14ac:dyDescent="0.2">
      <c r="A339" t="s">
        <v>430</v>
      </c>
      <c r="B339" t="s">
        <v>500</v>
      </c>
      <c r="C339" t="s">
        <v>432</v>
      </c>
      <c r="D339" t="s">
        <v>523</v>
      </c>
      <c r="F339">
        <v>8.8000000000000007</v>
      </c>
      <c r="H339">
        <v>16</v>
      </c>
      <c r="I339">
        <f t="shared" si="23"/>
        <v>0</v>
      </c>
      <c r="J339">
        <f t="shared" si="24"/>
        <v>24.8</v>
      </c>
    </row>
    <row r="340" spans="1:10" x14ac:dyDescent="0.2">
      <c r="A340" t="s">
        <v>430</v>
      </c>
      <c r="B340" t="s">
        <v>500</v>
      </c>
      <c r="C340" t="s">
        <v>438</v>
      </c>
      <c r="D340" t="s">
        <v>522</v>
      </c>
      <c r="I340">
        <f t="shared" si="23"/>
        <v>0</v>
      </c>
      <c r="J340">
        <f t="shared" si="24"/>
        <v>0</v>
      </c>
    </row>
    <row r="341" spans="1:10" x14ac:dyDescent="0.2">
      <c r="A341" t="s">
        <v>430</v>
      </c>
      <c r="B341" t="s">
        <v>500</v>
      </c>
      <c r="C341" t="s">
        <v>498</v>
      </c>
      <c r="D341" t="s">
        <v>521</v>
      </c>
      <c r="I341">
        <f t="shared" si="23"/>
        <v>0</v>
      </c>
      <c r="J341">
        <f t="shared" si="24"/>
        <v>0</v>
      </c>
    </row>
    <row r="342" spans="1:10" x14ac:dyDescent="0.2">
      <c r="A342" t="s">
        <v>430</v>
      </c>
      <c r="B342" t="s">
        <v>500</v>
      </c>
      <c r="C342" t="s">
        <v>432</v>
      </c>
      <c r="D342" t="s">
        <v>520</v>
      </c>
      <c r="F342">
        <v>3</v>
      </c>
      <c r="H342">
        <v>32</v>
      </c>
      <c r="I342">
        <f t="shared" ref="I342:I361" si="25">SUM(E342,G342)</f>
        <v>0</v>
      </c>
      <c r="J342">
        <f t="shared" ref="J342:J361" si="26">SUM(F342,H342)</f>
        <v>35</v>
      </c>
    </row>
    <row r="343" spans="1:10" x14ac:dyDescent="0.2">
      <c r="A343" t="s">
        <v>430</v>
      </c>
      <c r="B343" t="s">
        <v>468</v>
      </c>
      <c r="C343" t="s">
        <v>432</v>
      </c>
      <c r="D343" t="s">
        <v>478</v>
      </c>
      <c r="I343">
        <f t="shared" si="25"/>
        <v>0</v>
      </c>
      <c r="J343">
        <f t="shared" si="26"/>
        <v>0</v>
      </c>
    </row>
    <row r="344" spans="1:10" x14ac:dyDescent="0.2">
      <c r="A344" t="s">
        <v>430</v>
      </c>
      <c r="B344" t="s">
        <v>500</v>
      </c>
      <c r="C344" t="s">
        <v>518</v>
      </c>
      <c r="D344" t="s">
        <v>519</v>
      </c>
      <c r="I344">
        <f t="shared" si="25"/>
        <v>0</v>
      </c>
      <c r="J344">
        <f t="shared" si="26"/>
        <v>0</v>
      </c>
    </row>
    <row r="345" spans="1:10" x14ac:dyDescent="0.2">
      <c r="A345" t="s">
        <v>430</v>
      </c>
      <c r="B345" t="s">
        <v>500</v>
      </c>
      <c r="C345" t="s">
        <v>432</v>
      </c>
      <c r="D345" t="s">
        <v>517</v>
      </c>
      <c r="I345">
        <f t="shared" si="25"/>
        <v>0</v>
      </c>
      <c r="J345">
        <f t="shared" si="26"/>
        <v>0</v>
      </c>
    </row>
    <row r="346" spans="1:10" x14ac:dyDescent="0.2">
      <c r="A346" t="s">
        <v>430</v>
      </c>
      <c r="B346" t="s">
        <v>500</v>
      </c>
      <c r="C346" t="s">
        <v>438</v>
      </c>
      <c r="D346" t="s">
        <v>516</v>
      </c>
      <c r="I346">
        <f t="shared" si="25"/>
        <v>0</v>
      </c>
      <c r="J346">
        <f t="shared" si="26"/>
        <v>0</v>
      </c>
    </row>
    <row r="347" spans="1:10" x14ac:dyDescent="0.2">
      <c r="A347" t="s">
        <v>430</v>
      </c>
      <c r="B347" t="s">
        <v>500</v>
      </c>
      <c r="C347" t="s">
        <v>438</v>
      </c>
      <c r="D347" t="s">
        <v>564</v>
      </c>
      <c r="I347">
        <f t="shared" si="25"/>
        <v>0</v>
      </c>
      <c r="J347">
        <f t="shared" si="26"/>
        <v>0</v>
      </c>
    </row>
    <row r="348" spans="1:10" x14ac:dyDescent="0.2">
      <c r="A348" t="s">
        <v>430</v>
      </c>
      <c r="B348" t="s">
        <v>500</v>
      </c>
      <c r="C348" t="s">
        <v>438</v>
      </c>
      <c r="D348" t="s">
        <v>514</v>
      </c>
      <c r="I348">
        <f t="shared" si="25"/>
        <v>0</v>
      </c>
      <c r="J348">
        <f t="shared" si="26"/>
        <v>0</v>
      </c>
    </row>
    <row r="349" spans="1:10" x14ac:dyDescent="0.2">
      <c r="A349" t="s">
        <v>430</v>
      </c>
      <c r="B349" t="s">
        <v>500</v>
      </c>
      <c r="C349" t="s">
        <v>432</v>
      </c>
      <c r="D349" t="s">
        <v>513</v>
      </c>
      <c r="I349">
        <f t="shared" si="25"/>
        <v>0</v>
      </c>
      <c r="J349">
        <f t="shared" si="26"/>
        <v>0</v>
      </c>
    </row>
    <row r="350" spans="1:10" x14ac:dyDescent="0.2">
      <c r="A350" t="s">
        <v>430</v>
      </c>
      <c r="B350" t="s">
        <v>500</v>
      </c>
      <c r="C350" t="s">
        <v>432</v>
      </c>
      <c r="D350" t="s">
        <v>512</v>
      </c>
      <c r="F350">
        <v>8.3000000000000007</v>
      </c>
      <c r="H350">
        <v>29</v>
      </c>
      <c r="I350">
        <f t="shared" si="25"/>
        <v>0</v>
      </c>
      <c r="J350">
        <f t="shared" si="26"/>
        <v>37.299999999999997</v>
      </c>
    </row>
    <row r="351" spans="1:10" x14ac:dyDescent="0.2">
      <c r="A351" t="s">
        <v>430</v>
      </c>
      <c r="B351" t="s">
        <v>500</v>
      </c>
      <c r="C351" t="s">
        <v>438</v>
      </c>
      <c r="D351" t="s">
        <v>565</v>
      </c>
      <c r="I351">
        <f t="shared" si="25"/>
        <v>0</v>
      </c>
      <c r="J351">
        <f t="shared" si="26"/>
        <v>0</v>
      </c>
    </row>
    <row r="352" spans="1:10" x14ac:dyDescent="0.2">
      <c r="A352" t="s">
        <v>430</v>
      </c>
      <c r="B352" t="s">
        <v>500</v>
      </c>
      <c r="C352" t="s">
        <v>432</v>
      </c>
      <c r="D352" t="s">
        <v>510</v>
      </c>
      <c r="I352">
        <f t="shared" si="25"/>
        <v>0</v>
      </c>
      <c r="J352">
        <f t="shared" si="26"/>
        <v>0</v>
      </c>
    </row>
    <row r="353" spans="1:10" x14ac:dyDescent="0.2">
      <c r="A353" t="s">
        <v>430</v>
      </c>
      <c r="B353" t="s">
        <v>500</v>
      </c>
      <c r="C353" t="s">
        <v>432</v>
      </c>
      <c r="D353" t="s">
        <v>509</v>
      </c>
      <c r="I353">
        <f t="shared" si="25"/>
        <v>0</v>
      </c>
      <c r="J353">
        <f t="shared" si="26"/>
        <v>0</v>
      </c>
    </row>
    <row r="354" spans="1:10" x14ac:dyDescent="0.2">
      <c r="A354" t="s">
        <v>430</v>
      </c>
      <c r="B354" t="s">
        <v>500</v>
      </c>
      <c r="C354" t="s">
        <v>498</v>
      </c>
      <c r="D354" t="s">
        <v>508</v>
      </c>
      <c r="I354">
        <f t="shared" si="25"/>
        <v>0</v>
      </c>
      <c r="J354">
        <f t="shared" si="26"/>
        <v>0</v>
      </c>
    </row>
    <row r="355" spans="1:10" x14ac:dyDescent="0.2">
      <c r="A355" t="s">
        <v>430</v>
      </c>
      <c r="B355" t="s">
        <v>500</v>
      </c>
      <c r="C355" t="s">
        <v>498</v>
      </c>
      <c r="D355" t="s">
        <v>507</v>
      </c>
      <c r="I355">
        <f t="shared" si="25"/>
        <v>0</v>
      </c>
      <c r="J355">
        <f t="shared" si="26"/>
        <v>0</v>
      </c>
    </row>
    <row r="356" spans="1:10" x14ac:dyDescent="0.2">
      <c r="A356" t="s">
        <v>430</v>
      </c>
      <c r="B356" t="s">
        <v>500</v>
      </c>
      <c r="C356" t="s">
        <v>359</v>
      </c>
      <c r="D356" t="s">
        <v>506</v>
      </c>
      <c r="I356">
        <f t="shared" si="25"/>
        <v>0</v>
      </c>
      <c r="J356">
        <f t="shared" si="26"/>
        <v>0</v>
      </c>
    </row>
    <row r="357" spans="1:10" x14ac:dyDescent="0.2">
      <c r="A357" t="s">
        <v>430</v>
      </c>
      <c r="B357" t="s">
        <v>500</v>
      </c>
      <c r="C357" t="s">
        <v>432</v>
      </c>
      <c r="D357" t="s">
        <v>505</v>
      </c>
      <c r="F357">
        <v>0.9</v>
      </c>
      <c r="H357">
        <v>5</v>
      </c>
      <c r="I357">
        <f t="shared" si="25"/>
        <v>0</v>
      </c>
      <c r="J357">
        <f t="shared" si="26"/>
        <v>5.9</v>
      </c>
    </row>
    <row r="358" spans="1:10" x14ac:dyDescent="0.2">
      <c r="A358" t="s">
        <v>430</v>
      </c>
      <c r="B358" t="s">
        <v>500</v>
      </c>
      <c r="C358" t="s">
        <v>432</v>
      </c>
      <c r="D358" t="s">
        <v>504</v>
      </c>
      <c r="I358">
        <f t="shared" si="25"/>
        <v>0</v>
      </c>
      <c r="J358">
        <f t="shared" si="26"/>
        <v>0</v>
      </c>
    </row>
    <row r="359" spans="1:10" x14ac:dyDescent="0.2">
      <c r="A359" t="s">
        <v>430</v>
      </c>
      <c r="B359" t="s">
        <v>500</v>
      </c>
      <c r="C359" t="s">
        <v>432</v>
      </c>
      <c r="D359" t="s">
        <v>503</v>
      </c>
      <c r="I359">
        <f t="shared" si="25"/>
        <v>0</v>
      </c>
      <c r="J359">
        <f t="shared" si="26"/>
        <v>0</v>
      </c>
    </row>
    <row r="360" spans="1:10" x14ac:dyDescent="0.2">
      <c r="A360" t="s">
        <v>430</v>
      </c>
      <c r="B360" t="s">
        <v>500</v>
      </c>
      <c r="C360" t="s">
        <v>432</v>
      </c>
      <c r="D360" t="s">
        <v>502</v>
      </c>
      <c r="I360">
        <f t="shared" si="25"/>
        <v>0</v>
      </c>
      <c r="J360">
        <f t="shared" si="26"/>
        <v>0</v>
      </c>
    </row>
    <row r="361" spans="1:10" x14ac:dyDescent="0.2">
      <c r="A361" t="s">
        <v>430</v>
      </c>
      <c r="B361" t="s">
        <v>500</v>
      </c>
      <c r="C361" t="s">
        <v>438</v>
      </c>
      <c r="D361" t="s">
        <v>501</v>
      </c>
      <c r="I361">
        <f t="shared" si="25"/>
        <v>0</v>
      </c>
      <c r="J361">
        <f t="shared" si="26"/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1"/>
  <sheetViews>
    <sheetView workbookViewId="0"/>
  </sheetViews>
  <sheetFormatPr baseColWidth="10" defaultColWidth="8.83203125" defaultRowHeight="15" x14ac:dyDescent="0.2"/>
  <sheetData>
    <row r="1" spans="1:3" x14ac:dyDescent="0.2">
      <c r="A1" t="s">
        <v>567</v>
      </c>
      <c r="B1" t="s">
        <v>568</v>
      </c>
      <c r="C1" t="s">
        <v>569</v>
      </c>
    </row>
    <row r="2" spans="1:3" x14ac:dyDescent="0.2">
      <c r="A2" t="s">
        <v>570</v>
      </c>
      <c r="B2" t="s">
        <v>571</v>
      </c>
      <c r="C2" t="s">
        <v>572</v>
      </c>
    </row>
    <row r="3" spans="1:3" x14ac:dyDescent="0.2">
      <c r="A3" t="s">
        <v>570</v>
      </c>
      <c r="B3" t="s">
        <v>571</v>
      </c>
      <c r="C3" t="s">
        <v>267</v>
      </c>
    </row>
    <row r="4" spans="1:3" x14ac:dyDescent="0.2">
      <c r="A4" t="s">
        <v>570</v>
      </c>
      <c r="B4" t="s">
        <v>571</v>
      </c>
      <c r="C4" t="s">
        <v>573</v>
      </c>
    </row>
    <row r="5" spans="1:3" x14ac:dyDescent="0.2">
      <c r="A5" t="s">
        <v>570</v>
      </c>
      <c r="B5" t="s">
        <v>571</v>
      </c>
      <c r="C5" t="s">
        <v>193</v>
      </c>
    </row>
    <row r="6" spans="1:3" x14ac:dyDescent="0.2">
      <c r="A6" t="s">
        <v>574</v>
      </c>
      <c r="B6" t="s">
        <v>571</v>
      </c>
      <c r="C6" t="s">
        <v>572</v>
      </c>
    </row>
    <row r="7" spans="1:3" x14ac:dyDescent="0.2">
      <c r="A7" t="s">
        <v>574</v>
      </c>
      <c r="B7" t="s">
        <v>571</v>
      </c>
      <c r="C7" t="s">
        <v>267</v>
      </c>
    </row>
    <row r="8" spans="1:3" x14ac:dyDescent="0.2">
      <c r="A8" t="s">
        <v>575</v>
      </c>
      <c r="B8" t="s">
        <v>576</v>
      </c>
      <c r="C8" t="s">
        <v>572</v>
      </c>
    </row>
    <row r="9" spans="1:3" x14ac:dyDescent="0.2">
      <c r="A9" t="s">
        <v>575</v>
      </c>
      <c r="B9" t="s">
        <v>576</v>
      </c>
      <c r="C9" t="s">
        <v>267</v>
      </c>
    </row>
    <row r="10" spans="1:3" x14ac:dyDescent="0.2">
      <c r="A10" t="s">
        <v>577</v>
      </c>
      <c r="B10" t="s">
        <v>578</v>
      </c>
      <c r="C10" t="s">
        <v>193</v>
      </c>
    </row>
    <row r="11" spans="1:3" x14ac:dyDescent="0.2">
      <c r="A11" t="s">
        <v>579</v>
      </c>
      <c r="B11" t="s">
        <v>571</v>
      </c>
      <c r="C11" t="s">
        <v>572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5"/>
  <sheetViews>
    <sheetView workbookViewId="0"/>
  </sheetViews>
  <sheetFormatPr baseColWidth="10" defaultColWidth="8.83203125" defaultRowHeight="15" x14ac:dyDescent="0.2"/>
  <sheetData>
    <row r="1" spans="1:5" x14ac:dyDescent="0.2">
      <c r="A1" t="s">
        <v>580</v>
      </c>
      <c r="B1" t="s">
        <v>569</v>
      </c>
      <c r="C1" t="s">
        <v>567</v>
      </c>
      <c r="D1" t="s">
        <v>568</v>
      </c>
      <c r="E1" t="s">
        <v>581</v>
      </c>
    </row>
    <row r="2" spans="1:5" x14ac:dyDescent="0.2">
      <c r="A2" t="s">
        <v>542</v>
      </c>
      <c r="B2" t="s">
        <v>267</v>
      </c>
      <c r="C2" t="s">
        <v>570</v>
      </c>
      <c r="D2" t="s">
        <v>571</v>
      </c>
      <c r="E2">
        <v>1</v>
      </c>
    </row>
    <row r="3" spans="1:5" x14ac:dyDescent="0.2">
      <c r="A3" t="s">
        <v>582</v>
      </c>
      <c r="B3" t="s">
        <v>572</v>
      </c>
      <c r="C3" t="s">
        <v>570</v>
      </c>
      <c r="D3" t="s">
        <v>571</v>
      </c>
      <c r="E3">
        <v>2</v>
      </c>
    </row>
    <row r="4" spans="1:5" x14ac:dyDescent="0.2">
      <c r="A4" t="s">
        <v>583</v>
      </c>
      <c r="B4" t="s">
        <v>267</v>
      </c>
      <c r="C4" t="s">
        <v>570</v>
      </c>
      <c r="D4" t="s">
        <v>571</v>
      </c>
      <c r="E4">
        <v>3</v>
      </c>
    </row>
    <row r="5" spans="1:5" x14ac:dyDescent="0.2">
      <c r="A5" t="s">
        <v>545</v>
      </c>
      <c r="B5" t="s">
        <v>572</v>
      </c>
      <c r="C5" t="s">
        <v>570</v>
      </c>
      <c r="D5" t="s">
        <v>571</v>
      </c>
      <c r="E5">
        <v>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1"/>
  <sheetViews>
    <sheetView workbookViewId="0"/>
  </sheetViews>
  <sheetFormatPr baseColWidth="10" defaultColWidth="8.83203125" defaultRowHeight="15" x14ac:dyDescent="0.2"/>
  <sheetData>
    <row r="1" spans="1:10" x14ac:dyDescent="0.2">
      <c r="A1" t="s">
        <v>584</v>
      </c>
      <c r="B1" t="s">
        <v>585</v>
      </c>
      <c r="C1" t="s">
        <v>567</v>
      </c>
      <c r="D1" t="s">
        <v>568</v>
      </c>
      <c r="E1" t="s">
        <v>569</v>
      </c>
      <c r="F1" t="s">
        <v>586</v>
      </c>
      <c r="G1" t="s">
        <v>21</v>
      </c>
      <c r="H1" t="s">
        <v>22</v>
      </c>
      <c r="I1" t="s">
        <v>587</v>
      </c>
      <c r="J1" t="s">
        <v>588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15"/>
  <sheetViews>
    <sheetView topLeftCell="A2" zoomScale="173" workbookViewId="0">
      <selection activeCell="B3" sqref="B3"/>
    </sheetView>
  </sheetViews>
  <sheetFormatPr baseColWidth="10" defaultColWidth="8.83203125" defaultRowHeight="15" x14ac:dyDescent="0.2"/>
  <cols>
    <col min="1" max="1" width="15" customWidth="1"/>
    <col min="2" max="2" width="25" customWidth="1"/>
  </cols>
  <sheetData>
    <row r="2" spans="1:2" x14ac:dyDescent="0.2">
      <c r="A2" t="s">
        <v>585</v>
      </c>
      <c r="B2" s="2">
        <v>45903</v>
      </c>
    </row>
    <row r="3" spans="1:2" x14ac:dyDescent="0.2">
      <c r="A3" t="s">
        <v>567</v>
      </c>
    </row>
    <row r="4" spans="1:2" x14ac:dyDescent="0.2">
      <c r="A4" t="s">
        <v>568</v>
      </c>
    </row>
    <row r="5" spans="1:2" x14ac:dyDescent="0.2">
      <c r="A5" t="s">
        <v>569</v>
      </c>
    </row>
    <row r="6" spans="1:2" x14ac:dyDescent="0.2">
      <c r="A6" t="s">
        <v>586</v>
      </c>
    </row>
    <row r="7" spans="1:2" x14ac:dyDescent="0.2">
      <c r="A7" t="s">
        <v>21</v>
      </c>
    </row>
    <row r="8" spans="1:2" x14ac:dyDescent="0.2">
      <c r="A8" t="s">
        <v>22</v>
      </c>
    </row>
    <row r="9" spans="1:2" x14ac:dyDescent="0.2">
      <c r="A9" t="s">
        <v>587</v>
      </c>
    </row>
    <row r="10" spans="1:2" x14ac:dyDescent="0.2">
      <c r="A10" t="s">
        <v>588</v>
      </c>
    </row>
    <row r="12" spans="1:2" x14ac:dyDescent="0.2">
      <c r="B12" s="1" t="s">
        <v>589</v>
      </c>
    </row>
    <row r="13" spans="1:2" x14ac:dyDescent="0.2">
      <c r="B13" s="1" t="s">
        <v>590</v>
      </c>
    </row>
    <row r="14" spans="1:2" x14ac:dyDescent="0.2">
      <c r="B14" s="1" t="s">
        <v>591</v>
      </c>
    </row>
    <row r="15" spans="1:2" x14ac:dyDescent="0.2">
      <c r="B15" s="1" t="s">
        <v>592</v>
      </c>
    </row>
  </sheetData>
  <dataValidations count="1">
    <dataValidation type="whole" operator="greaterThanOrEqual" allowBlank="1" showInputMessage="1" showErrorMessage="1" sqref="B7:B8" xr:uid="{00000000-0002-0000-0800-000004000000}">
      <formula1>0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ewSessionToday">
                <anchor moveWithCells="1" sizeWithCells="1">
                  <from>
                    <xdr:col>3</xdr:col>
                    <xdr:colOff>50800</xdr:colOff>
                    <xdr:row>4</xdr:row>
                    <xdr:rowOff>12700</xdr:rowOff>
                  </from>
                  <to>
                    <xdr:col>5</xdr:col>
                    <xdr:colOff>228600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800-000000000000}">
          <x14:formula1>
            <xm:f>Config!$A$2:$A$11</xm:f>
          </x14:formula1>
          <xm:sqref>B3</xm:sqref>
        </x14:dataValidation>
        <x14:dataValidation type="list" allowBlank="1" showInputMessage="1" showErrorMessage="1" xr:uid="{00000000-0002-0000-0800-000001000000}">
          <x14:formula1>
            <xm:f>Config!$B$2:$B$11</xm:f>
          </x14:formula1>
          <xm:sqref>B4</xm:sqref>
        </x14:dataValidation>
        <x14:dataValidation type="list" allowBlank="1" showInputMessage="1" showErrorMessage="1" xr:uid="{00000000-0002-0000-0800-000002000000}">
          <x14:formula1>
            <xm:f>Config!$C$2:$C$11</xm:f>
          </x14:formula1>
          <xm:sqref>B5</xm:sqref>
        </x14:dataValidation>
        <x14:dataValidation type="list" allowBlank="1" showInputMessage="1" showErrorMessage="1" xr:uid="{00000000-0002-0000-0800-000003000000}">
          <x14:formula1>
            <xm:f>Items!$A$2:$A$5</xm:f>
          </x14:formula1>
          <xm:sqref>B6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Stock Count</vt:lpstr>
      <vt:lpstr>Coppa</vt:lpstr>
      <vt:lpstr>Events</vt:lpstr>
      <vt:lpstr>Cafe+Room 1</vt:lpstr>
      <vt:lpstr>Lobster</vt:lpstr>
      <vt:lpstr>Config</vt:lpstr>
      <vt:lpstr>Items</vt:lpstr>
      <vt:lpstr>Entry Log</vt:lpstr>
      <vt:lpstr>Form</vt:lpstr>
      <vt:lpstr>BTN_AddToLog</vt:lpstr>
      <vt:lpstr>BTN_ClearSession</vt:lpstr>
      <vt:lpstr>BTN_Keypad</vt:lpstr>
      <vt:lpstr>BTN_NewSession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Hennes Bam</cp:lastModifiedBy>
  <dcterms:created xsi:type="dcterms:W3CDTF">2025-09-03T20:50:15Z</dcterms:created>
  <dcterms:modified xsi:type="dcterms:W3CDTF">2025-09-05T13:42:02Z</dcterms:modified>
</cp:coreProperties>
</file>